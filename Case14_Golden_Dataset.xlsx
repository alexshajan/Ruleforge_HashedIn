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vimal\AppData\Local\Claude-Data\claude_pzs8sxrjxfjjc\scratch-workspaces\3f7e46a4-a456-4905-867d-0c91640e6d34\72a901d5-d2d6-44a8-bb98-dbef13a59cc7\scratch-2026-10-27-ac28d6\"/>
    </mc:Choice>
  </mc:AlternateContent>
  <xr:revisionPtr revIDLastSave="0" documentId="13_ncr:1_{5B1EC523-792E-4BF9-86D0-DCBF36450AC4}" xr6:coauthVersionLast="47" xr6:coauthVersionMax="47" xr10:uidLastSave="{00000000-0000-0000-0000-000000000000}"/>
  <bookViews>
    <workbookView xWindow="-110" yWindow="-110" windowWidth="25820" windowHeight="15500" xr2:uid="{00000000-000D-0000-FFFF-FFFF00000000}"/>
  </bookViews>
  <sheets>
    <sheet name="README" sheetId="1" r:id="rId1"/>
    <sheet name="Positive_Set" sheetId="2" r:id="rId2"/>
    <sheet name="Edge_Cases" sheetId="3" r:id="rId3"/>
    <sheet name="Triage_Set" sheetId="4" r:id="rId4"/>
    <sheet name="Version_Drift" sheetId="5" r:id="rId5"/>
    <sheet name="Eval_Scorecard" sheetId="6" r:id="rId6"/>
    <sheet name="Sources" sheetId="7" r:id="rId7"/>
  </sheets>
  <definedNames>
    <definedName name="_xlnm._FilterDatabase" localSheetId="2" hidden="1">Edge_Cases!$A$1:$F$52</definedName>
    <definedName name="_xlnm._FilterDatabase" localSheetId="5" hidden="1">Eval_Scorecard!$A$4:$K$4</definedName>
    <definedName name="_xlnm._FilterDatabase" localSheetId="1" hidden="1">Positive_Set!$A$1:$T$87</definedName>
    <definedName name="_xlnm._FilterDatabase" localSheetId="6" hidden="1">Sources!$A$1:$B$8</definedName>
    <definedName name="_xlnm._FilterDatabase" localSheetId="3" hidden="1">Triage_Set!$A$1:$J$101</definedName>
    <definedName name="_xlnm._FilterDatabase" localSheetId="4" hidden="1">Version_Drift!$A$1:$H$32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0" i="6" l="1"/>
  <c r="E90" i="6"/>
  <c r="A90" i="6"/>
  <c r="J89" i="6"/>
  <c r="E89" i="6"/>
  <c r="A89" i="6"/>
  <c r="J88" i="6"/>
  <c r="E88" i="6"/>
  <c r="A88" i="6"/>
  <c r="J87" i="6"/>
  <c r="E87" i="6"/>
  <c r="A87" i="6"/>
  <c r="J86" i="6"/>
  <c r="E86" i="6"/>
  <c r="A86" i="6"/>
  <c r="J85" i="6"/>
  <c r="E85" i="6"/>
  <c r="A85" i="6"/>
  <c r="J84" i="6"/>
  <c r="E84" i="6"/>
  <c r="A84" i="6"/>
  <c r="J83" i="6"/>
  <c r="E83" i="6"/>
  <c r="A83" i="6"/>
  <c r="J82" i="6"/>
  <c r="E82" i="6"/>
  <c r="A82" i="6"/>
  <c r="J81" i="6"/>
  <c r="E81" i="6"/>
  <c r="A81" i="6"/>
  <c r="J80" i="6"/>
  <c r="E80" i="6"/>
  <c r="A80" i="6"/>
  <c r="J79" i="6"/>
  <c r="E79" i="6"/>
  <c r="A79" i="6"/>
  <c r="J78" i="6"/>
  <c r="E78" i="6"/>
  <c r="A78" i="6"/>
  <c r="J77" i="6"/>
  <c r="E77" i="6"/>
  <c r="A77" i="6"/>
  <c r="J76" i="6"/>
  <c r="E76" i="6"/>
  <c r="A76" i="6"/>
  <c r="J75" i="6"/>
  <c r="E75" i="6"/>
  <c r="A75" i="6"/>
  <c r="J74" i="6"/>
  <c r="E74" i="6"/>
  <c r="A74" i="6"/>
  <c r="J73" i="6"/>
  <c r="E73" i="6"/>
  <c r="A73" i="6"/>
  <c r="J72" i="6"/>
  <c r="E72" i="6"/>
  <c r="A72" i="6"/>
  <c r="J71" i="6"/>
  <c r="E71" i="6"/>
  <c r="A71" i="6"/>
  <c r="J70" i="6"/>
  <c r="E70" i="6"/>
  <c r="A70" i="6"/>
  <c r="J69" i="6"/>
  <c r="E69" i="6"/>
  <c r="A69" i="6"/>
  <c r="J68" i="6"/>
  <c r="E68" i="6"/>
  <c r="A68" i="6"/>
  <c r="J67" i="6"/>
  <c r="E67" i="6"/>
  <c r="A67" i="6"/>
  <c r="J66" i="6"/>
  <c r="E66" i="6"/>
  <c r="A66" i="6"/>
  <c r="J65" i="6"/>
  <c r="E65" i="6"/>
  <c r="A65" i="6"/>
  <c r="J64" i="6"/>
  <c r="E64" i="6"/>
  <c r="A64" i="6"/>
  <c r="J63" i="6"/>
  <c r="E63" i="6"/>
  <c r="A63" i="6"/>
  <c r="J62" i="6"/>
  <c r="E62" i="6"/>
  <c r="A62" i="6"/>
  <c r="J61" i="6"/>
  <c r="E61" i="6"/>
  <c r="A61" i="6"/>
  <c r="J60" i="6"/>
  <c r="E60" i="6"/>
  <c r="A60" i="6"/>
  <c r="J59" i="6"/>
  <c r="E59" i="6"/>
  <c r="A59" i="6"/>
  <c r="J58" i="6"/>
  <c r="E58" i="6"/>
  <c r="A58" i="6"/>
  <c r="J57" i="6"/>
  <c r="E57" i="6"/>
  <c r="A57" i="6"/>
  <c r="J56" i="6"/>
  <c r="E56" i="6"/>
  <c r="A56" i="6"/>
  <c r="J55" i="6"/>
  <c r="E55" i="6"/>
  <c r="A55" i="6"/>
  <c r="J54" i="6"/>
  <c r="E54" i="6"/>
  <c r="A54" i="6"/>
  <c r="J53" i="6"/>
  <c r="E53" i="6"/>
  <c r="A53" i="6"/>
  <c r="J52" i="6"/>
  <c r="E52" i="6"/>
  <c r="A52" i="6"/>
  <c r="J51" i="6"/>
  <c r="E51" i="6"/>
  <c r="A51" i="6"/>
  <c r="J50" i="6"/>
  <c r="E50" i="6"/>
  <c r="A50" i="6"/>
  <c r="J49" i="6"/>
  <c r="E49" i="6"/>
  <c r="A49" i="6"/>
  <c r="J48" i="6"/>
  <c r="E48" i="6"/>
  <c r="A48" i="6"/>
  <c r="J47" i="6"/>
  <c r="E47" i="6"/>
  <c r="A47" i="6"/>
  <c r="J46" i="6"/>
  <c r="E46" i="6"/>
  <c r="A46" i="6"/>
  <c r="J45" i="6"/>
  <c r="E45" i="6"/>
  <c r="A45" i="6"/>
  <c r="J44" i="6"/>
  <c r="E44" i="6"/>
  <c r="A44" i="6"/>
  <c r="J43" i="6"/>
  <c r="E43" i="6"/>
  <c r="A43" i="6"/>
  <c r="J42" i="6"/>
  <c r="E42" i="6"/>
  <c r="A42" i="6"/>
  <c r="J41" i="6"/>
  <c r="E41" i="6"/>
  <c r="A41" i="6"/>
  <c r="J40" i="6"/>
  <c r="E40" i="6"/>
  <c r="A40" i="6"/>
  <c r="J39" i="6"/>
  <c r="E39" i="6"/>
  <c r="A39" i="6"/>
  <c r="J38" i="6"/>
  <c r="E38" i="6"/>
  <c r="A38" i="6"/>
  <c r="J37" i="6"/>
  <c r="E37" i="6"/>
  <c r="A37" i="6"/>
  <c r="J36" i="6"/>
  <c r="E36" i="6"/>
  <c r="A36" i="6"/>
  <c r="J35" i="6"/>
  <c r="E35" i="6"/>
  <c r="A35" i="6"/>
  <c r="J34" i="6"/>
  <c r="E34" i="6"/>
  <c r="A34" i="6"/>
  <c r="J33" i="6"/>
  <c r="E33" i="6"/>
  <c r="A33" i="6"/>
  <c r="J32" i="6"/>
  <c r="E32" i="6"/>
  <c r="A32" i="6"/>
  <c r="J31" i="6"/>
  <c r="E31" i="6"/>
  <c r="A31" i="6"/>
  <c r="J30" i="6"/>
  <c r="E30" i="6"/>
  <c r="A30" i="6"/>
  <c r="J29" i="6"/>
  <c r="E29" i="6"/>
  <c r="A29" i="6"/>
  <c r="J28" i="6"/>
  <c r="E28" i="6"/>
  <c r="A28" i="6"/>
  <c r="J27" i="6"/>
  <c r="E27" i="6"/>
  <c r="A27" i="6"/>
  <c r="J26" i="6"/>
  <c r="E26" i="6"/>
  <c r="A26" i="6"/>
  <c r="J25" i="6"/>
  <c r="E25" i="6"/>
  <c r="A25" i="6"/>
  <c r="J24" i="6"/>
  <c r="E24" i="6"/>
  <c r="A24" i="6"/>
  <c r="J23" i="6"/>
  <c r="E23" i="6"/>
  <c r="A23" i="6"/>
  <c r="J22" i="6"/>
  <c r="E22" i="6"/>
  <c r="A22" i="6"/>
  <c r="J21" i="6"/>
  <c r="E21" i="6"/>
  <c r="A21" i="6"/>
  <c r="J20" i="6"/>
  <c r="E20" i="6"/>
  <c r="A20" i="6"/>
  <c r="J19" i="6"/>
  <c r="E19" i="6"/>
  <c r="A19" i="6"/>
  <c r="J18" i="6"/>
  <c r="E18" i="6"/>
  <c r="A18" i="6"/>
  <c r="J17" i="6"/>
  <c r="E17" i="6"/>
  <c r="A17" i="6"/>
  <c r="J16" i="6"/>
  <c r="E16" i="6"/>
  <c r="A16" i="6"/>
  <c r="N15" i="6"/>
  <c r="J15" i="6"/>
  <c r="E15" i="6"/>
  <c r="A15" i="6"/>
  <c r="N14" i="6"/>
  <c r="J14" i="6"/>
  <c r="E14" i="6"/>
  <c r="A14" i="6"/>
  <c r="N13" i="6"/>
  <c r="J13" i="6"/>
  <c r="E13" i="6"/>
  <c r="A13" i="6"/>
  <c r="J12" i="6"/>
  <c r="E12" i="6"/>
  <c r="A12" i="6"/>
  <c r="J11" i="6"/>
  <c r="E11" i="6"/>
  <c r="A11" i="6"/>
  <c r="N10" i="6"/>
  <c r="J10" i="6"/>
  <c r="E10" i="6"/>
  <c r="A10" i="6"/>
  <c r="N9" i="6"/>
  <c r="J9" i="6"/>
  <c r="E9" i="6"/>
  <c r="A9" i="6"/>
  <c r="J8" i="6"/>
  <c r="E8" i="6"/>
  <c r="A8" i="6"/>
  <c r="J7" i="6"/>
  <c r="E7" i="6"/>
  <c r="A7" i="6"/>
  <c r="J6" i="6"/>
  <c r="E6" i="6"/>
  <c r="A6" i="6"/>
  <c r="J5" i="6"/>
  <c r="E5" i="6"/>
  <c r="A5" i="6"/>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B36" i="1" s="1"/>
  <c r="T24" i="2"/>
  <c r="T23" i="2"/>
  <c r="T22" i="2"/>
  <c r="T21" i="2"/>
  <c r="T20" i="2"/>
  <c r="T19" i="2"/>
  <c r="T18" i="2"/>
  <c r="T17" i="2"/>
  <c r="T16" i="2"/>
  <c r="T15" i="2"/>
  <c r="T14" i="2"/>
  <c r="T13" i="2"/>
  <c r="T12" i="2"/>
  <c r="T11" i="2"/>
  <c r="T10" i="2"/>
  <c r="T9" i="2"/>
  <c r="T8" i="2"/>
  <c r="T7" i="2"/>
  <c r="T6" i="2"/>
  <c r="T5" i="2"/>
  <c r="T4" i="2"/>
  <c r="T3" i="2"/>
  <c r="T2" i="2"/>
  <c r="B35" i="1"/>
  <c r="B34" i="1"/>
  <c r="B33" i="1"/>
  <c r="B32" i="1"/>
  <c r="B31" i="1"/>
  <c r="B29" i="1"/>
  <c r="N8" i="6" l="1"/>
  <c r="C83" i="6"/>
  <c r="B83" i="6"/>
  <c r="C75" i="6"/>
  <c r="B75" i="6"/>
  <c r="B67" i="6"/>
  <c r="C67" i="6"/>
  <c r="B59" i="6"/>
  <c r="C59" i="6"/>
  <c r="B51" i="6"/>
  <c r="C51" i="6"/>
  <c r="C7" i="6"/>
  <c r="B7" i="6"/>
  <c r="C90" i="6"/>
  <c r="B90" i="6"/>
  <c r="C89" i="6"/>
  <c r="B89" i="6"/>
  <c r="C88" i="6"/>
  <c r="B88" i="6"/>
  <c r="C87" i="6"/>
  <c r="B87" i="6"/>
  <c r="C86" i="6"/>
  <c r="B86" i="6"/>
  <c r="C85" i="6"/>
  <c r="B85" i="6"/>
  <c r="C84" i="6"/>
  <c r="B84" i="6"/>
  <c r="C82" i="6"/>
  <c r="B82" i="6"/>
  <c r="B81" i="6"/>
  <c r="C81" i="6"/>
  <c r="B80" i="6"/>
  <c r="C80" i="6"/>
  <c r="C79" i="6"/>
  <c r="B79" i="6"/>
  <c r="C78" i="6"/>
  <c r="B78" i="6"/>
  <c r="C77" i="6"/>
  <c r="B77" i="6"/>
  <c r="C76" i="6"/>
  <c r="B76" i="6"/>
  <c r="C74" i="6"/>
  <c r="B74" i="6"/>
  <c r="C73" i="6"/>
  <c r="B73" i="6"/>
  <c r="C72" i="6"/>
  <c r="B72" i="6"/>
  <c r="C71" i="6"/>
  <c r="B71" i="6"/>
  <c r="B70" i="6"/>
  <c r="C70" i="6"/>
  <c r="B69" i="6"/>
  <c r="C69" i="6"/>
  <c r="C68" i="6"/>
  <c r="B68" i="6"/>
  <c r="C66" i="6"/>
  <c r="B66" i="6"/>
  <c r="C65" i="6"/>
  <c r="B65" i="6"/>
  <c r="C64" i="6"/>
  <c r="B64" i="6"/>
  <c r="C63" i="6"/>
  <c r="B63" i="6"/>
  <c r="C62" i="6"/>
  <c r="B62" i="6"/>
  <c r="C61" i="6"/>
  <c r="B61" i="6"/>
  <c r="C60" i="6"/>
  <c r="B60" i="6"/>
  <c r="C58" i="6"/>
  <c r="B58" i="6"/>
  <c r="C57" i="6"/>
  <c r="B57" i="6"/>
  <c r="C56" i="6"/>
  <c r="B56" i="6"/>
  <c r="C55" i="6"/>
  <c r="B55" i="6"/>
  <c r="C54" i="6"/>
  <c r="B54" i="6"/>
  <c r="C53" i="6"/>
  <c r="B53" i="6"/>
  <c r="C52" i="6"/>
  <c r="B52" i="6"/>
  <c r="C50" i="6"/>
  <c r="B50" i="6"/>
  <c r="B49" i="6"/>
  <c r="C49" i="6"/>
  <c r="B48" i="6"/>
  <c r="C48" i="6"/>
  <c r="C47" i="6"/>
  <c r="B47" i="6"/>
  <c r="C46" i="6"/>
  <c r="B46" i="6"/>
  <c r="C45" i="6"/>
  <c r="B45" i="6"/>
  <c r="B44" i="6"/>
  <c r="C44" i="6"/>
  <c r="C43" i="6"/>
  <c r="B43" i="6"/>
  <c r="C42" i="6"/>
  <c r="B42" i="6"/>
  <c r="B41" i="6"/>
  <c r="C41" i="6"/>
  <c r="B40" i="6"/>
  <c r="C40" i="6"/>
  <c r="B39" i="6"/>
  <c r="C39" i="6"/>
  <c r="C38" i="6"/>
  <c r="B38" i="6"/>
  <c r="C37" i="6"/>
  <c r="B37" i="6"/>
  <c r="B36" i="6"/>
  <c r="C36" i="6"/>
  <c r="B35" i="6"/>
  <c r="C35" i="6"/>
  <c r="B34" i="6"/>
  <c r="C34" i="6"/>
  <c r="C33" i="6"/>
  <c r="B33" i="6"/>
  <c r="B32" i="6"/>
  <c r="C32" i="6"/>
  <c r="B31" i="6"/>
  <c r="C31" i="6"/>
  <c r="B30" i="6"/>
  <c r="C30" i="6"/>
  <c r="C29" i="6"/>
  <c r="B29" i="6"/>
  <c r="B28" i="6"/>
  <c r="C28" i="6"/>
  <c r="C27" i="6"/>
  <c r="B27" i="6"/>
  <c r="C26" i="6"/>
  <c r="B26" i="6"/>
  <c r="C25" i="6"/>
  <c r="B25" i="6"/>
  <c r="C24" i="6"/>
  <c r="B24" i="6"/>
  <c r="C23" i="6"/>
  <c r="B23" i="6"/>
  <c r="B22" i="6"/>
  <c r="C22" i="6"/>
  <c r="C21" i="6"/>
  <c r="B21" i="6"/>
  <c r="C20" i="6"/>
  <c r="B20" i="6"/>
  <c r="C19" i="6"/>
  <c r="B19" i="6"/>
  <c r="C18" i="6"/>
  <c r="B18" i="6"/>
  <c r="C17" i="6"/>
  <c r="B17" i="6"/>
  <c r="B16" i="6"/>
  <c r="C16" i="6"/>
  <c r="B15" i="6"/>
  <c r="C15" i="6"/>
  <c r="C14" i="6"/>
  <c r="B14" i="6"/>
  <c r="N17" i="6"/>
  <c r="N16" i="6"/>
  <c r="B13" i="6"/>
  <c r="C13" i="6"/>
  <c r="C12" i="6"/>
  <c r="B12" i="6"/>
  <c r="C11" i="6"/>
  <c r="B11" i="6"/>
  <c r="B10" i="6"/>
  <c r="C10" i="6"/>
  <c r="C9" i="6"/>
  <c r="B9" i="6"/>
  <c r="C8" i="6"/>
  <c r="B8" i="6"/>
  <c r="N6" i="6"/>
  <c r="N7" i="6"/>
  <c r="B6" i="6"/>
  <c r="C6" i="6"/>
  <c r="N5" i="6"/>
  <c r="C5" i="6"/>
  <c r="B5" i="6"/>
</calcChain>
</file>

<file path=xl/sharedStrings.xml><?xml version="1.0" encoding="utf-8"?>
<sst xmlns="http://schemas.openxmlformats.org/spreadsheetml/2006/main" count="3017" uniqueCount="1536">
  <si>
    <t>Golden Data Set: Agentic Rule Generation for Cloud Security (Case 14, CloudGuard Labs)</t>
  </si>
  <si>
    <t>Purpose</t>
  </si>
  <si>
    <t>Ground-truth data used to design and evaluate the AI rule-generation pipeline: (1) offline evaluation before launch, (2) regression test whenever the model or prompts change, (3) go/no-go gate for the MVP.</t>
  </si>
  <si>
    <t>Where the data comes from (all real, nothing synthetic)</t>
  </si>
  <si>
    <t>- CIS Amazon Web Services Foundations Benchmark v7.0.0 and v6.0.0: recommendation IDs, titles, section, profile level, assessment status, as mapped in Prowler's compliance files.</t>
  </si>
  <si>
    <t>- Prowler open-source CSPM (Apache-2.0): check metadata (severity, risk, remediation, Terraform/CLI fixes) and the check source code. The PASS/FAIL messages were extracted directly from each check's Python code.</t>
  </si>
  <si>
    <t>- AWS What's New RSS feed: the 100 most recent real announcements (14-26 Oct 2026) for the triage set.</t>
  </si>
  <si>
    <t>Sheets</t>
  </si>
  <si>
    <t>Positive_Set: one row per (CIS recommendation x reference check) pair. 'What a correct rule looks like' = expected rule output.</t>
  </si>
  <si>
    <t>Edge_Cases: cases found in the real data that a naive generator gets wrong (one-to-many mappings, shared checks, manual-only controls, no-automation controls, account-vs-resource scope).</t>
  </si>
  <si>
    <t>Triage_Set: real AWS announcements with an expected triage label: does this need a new rule, an update to an existing rule, or no rule?</t>
  </si>
  <si>
    <t>Version_Drift: real changes between CIS v6.0 and v7.0. Tests the maintenance agent: which existing rules must be added, retired, re-numbered or re-mapped.</t>
  </si>
  <si>
    <t>Eval_Scorecard: template to score a model run against the golden set. Yellow cells are inputs; everything else is a formula.</t>
  </si>
  <si>
    <t>Sources: links for every data source.</t>
  </si>
  <si>
    <t>Label provenance (be transparent about this in the deck)</t>
  </si>
  <si>
    <t>- Positive_Set, Edge_Cases, Version_Drift: expected values come straight from CIS/Prowler. No human judgement added, except the Proposed_Risk_Tier column.</t>
  </si>
  <si>
    <t>- Proposed_Risk_Tier is a formula implementing the policy proposed in the solution: T3 = critical severity, or high severity in IAM/network; T2 = other high/medium; T1 = low. Change the formula if your policy differs.</t>
  </si>
  <si>
    <t>- Triage_Set Expected_Label: DRAFT labels made by Claude (keyword rules + manual review of each title). Verify every row yourself or with a security SME before presenting; say 'labels reviewed by &lt;name&gt;' in the deck.</t>
  </si>
  <si>
    <t>Licence and attribution</t>
  </si>
  <si>
    <t>Prowler content is Apache-2.0 (Prowler / prowler-cloud). CIS Benchmark text is (c) Center for Internet Security. Only recommendation IDs and titles are included here; download the full benchmark PDF free from cisecurity.org for rationale and audit text.</t>
  </si>
  <si>
    <t>Key derived facts for the deck</t>
  </si>
  <si>
    <t>CIS v7.0 recommendations</t>
  </si>
  <si>
    <t>in Prowler's CIS v7.0 AWS mapping (counted in build script)</t>
  </si>
  <si>
    <t>Positive_Set rows</t>
  </si>
  <si>
    <t>recommendation x reference-check pairs</t>
  </si>
  <si>
    <t>Distinct reference checks</t>
  </si>
  <si>
    <t>distinct Prowler checks mapped to CIS v7.0 (counted in build script)</t>
  </si>
  <si>
    <t>Edge cases</t>
  </si>
  <si>
    <t>Triage announcements</t>
  </si>
  <si>
    <t>real AWS announcements, 14-26 Oct 2026</t>
  </si>
  <si>
    <t>...of which need a rule (draft label)</t>
  </si>
  <si>
    <t>the rest are noise the Watcher agent must filter out</t>
  </si>
  <si>
    <t>Version drift items (CIS 6.0 -&gt; 7.0)</t>
  </si>
  <si>
    <t>Critical/High severity rows</t>
  </si>
  <si>
    <t>Rows in tier T3 (mandatory 2-SME sign-off)</t>
  </si>
  <si>
    <t>GS_ID</t>
  </si>
  <si>
    <t>CIS_ID</t>
  </si>
  <si>
    <t>CIS_Recommendation</t>
  </si>
  <si>
    <t>CIS_Section</t>
  </si>
  <si>
    <t>CIS_Profile</t>
  </si>
  <si>
    <t>CIS_Assessment</t>
  </si>
  <si>
    <t>Expected_Check_ID</t>
  </si>
  <si>
    <t>Check_Title</t>
  </si>
  <si>
    <t>Service</t>
  </si>
  <si>
    <t>Resource_Type</t>
  </si>
  <si>
    <t>Resource_Group</t>
  </si>
  <si>
    <t>Expected_Severity</t>
  </si>
  <si>
    <t>Risk (Prowler)</t>
  </si>
  <si>
    <t>Expected_FAIL_message</t>
  </si>
  <si>
    <t>Expected_PASS_message</t>
  </si>
  <si>
    <t>Compliant_Fixture (Terraform)</t>
  </si>
  <si>
    <t>Remediation_CLI</t>
  </si>
  <si>
    <t>AWS_Docs_URLs</t>
  </si>
  <si>
    <t>Reference_Rule_Code_URL</t>
  </si>
  <si>
    <t>Proposed_Risk_Tier</t>
  </si>
  <si>
    <t>P-001</t>
  </si>
  <si>
    <t>2.1.1</t>
  </si>
  <si>
    <t>Ensure centralized root access in AWS Organizations</t>
  </si>
  <si>
    <t>2 Identity and Access Management</t>
  </si>
  <si>
    <t>Level 2</t>
  </si>
  <si>
    <t>Manual</t>
  </si>
  <si>
    <t>iam_root_credentials_management_enabled</t>
  </si>
  <si>
    <t>AWS Organization has centralized root credentials management enabled</t>
  </si>
  <si>
    <t>iam</t>
  </si>
  <si>
    <t>Other</t>
  </si>
  <si>
    <t>IAM</t>
  </si>
  <si>
    <t>high</t>
  </si>
  <si>
    <t>Without central control, member accounts can retain or recover long-term root credentials, weakening confidentiality and integrity.
Threats include:
- Account takeover via root email recovery
- Persistent access through root keys
- Unfixable lockouts from misconfigured policies
- Bypass of separation of duties</t>
  </si>
  <si>
    <t>Root credentials management is not enabled.</t>
  </si>
  <si>
    <t>Root credentials management is enabled.</t>
  </si>
  <si>
    <t>aws iam enable-organizations-root-credentials-management</t>
  </si>
  <si>
    <t>https://docs.aws.amazon.com/IAM/latest/UserGuide/id_root-user.html#id_root-user-access-management
https://docs.aws.amazon.com/IAM/latest/UserGuide/id_root-enable-root-access.html</t>
  </si>
  <si>
    <t>https://github.com/prowler-cloud/prowler/blob/master/prowler/providers/aws/services/iam/iam_root_credentials_management_enabled/iam_root_credentials_management_enabled.py</t>
  </si>
  <si>
    <t>P-002</t>
  </si>
  <si>
    <t>2.1.5</t>
  </si>
  <si>
    <t>Ensure delegated admin manages AWS Organizations policies</t>
  </si>
  <si>
    <t>organizations_delegated_administrators</t>
  </si>
  <si>
    <t>AWS Organization has only trusted delegated administrators</t>
  </si>
  <si>
    <t>organizations</t>
  </si>
  <si>
    <t>governance</t>
  </si>
  <si>
    <t>critical</t>
  </si>
  <si>
    <t>Unapproved delegated administrators can alter SCPs, invite/move accounts, and create privileged roles, enabling privilege escalation. This undermines guardrails, risking loss of integrity, exposure of confidentiality across accounts, and impacts availability through organization-wide policy changes.</t>
  </si>
  <si>
    <t>AWS Organization {organizations_client.organization.id} has an untrusted Delegated Administrator: {delegated_administrator.id}.</t>
  </si>
  <si>
    <t>AWS Organization {organizations_client.organization.id} has a trusted Delegated Administrator: {delegated_administrator.id}.</t>
  </si>
  <si>
    <t>https://docs.aws.amazon.com/organizations/latest/userguide/orgs_delegate_policies.html</t>
  </si>
  <si>
    <t>https://github.com/prowler-cloud/prowler/blob/master/prowler/providers/aws/services/organizations/organizations_delegated_administrators/organizations_delegated_administrators.py</t>
  </si>
  <si>
    <t>P-003</t>
  </si>
  <si>
    <t>2.1.6</t>
  </si>
  <si>
    <t>Ensure delegated admins manage AWS Organizations-integrated services</t>
  </si>
  <si>
    <t>P-004</t>
  </si>
  <si>
    <t>2.2</t>
  </si>
  <si>
    <t>Maintain current AWS account contact details</t>
  </si>
  <si>
    <t>Level 1</t>
  </si>
  <si>
    <t>account_maintain_current_contact_details</t>
  </si>
  <si>
    <t>AWS account contact information is current</t>
  </si>
  <si>
    <t>account</t>
  </si>
  <si>
    <t>medium</t>
  </si>
  <si>
    <t>Outdated or single-person contacts delay security notifications, slow incident response, and complicate account recovery.
AWS may throttle services during abuse mitigation, reducing availability. Missed alerts enable ongoing misuse, risking data exfiltration and unauthorized changes (integrity).</t>
  </si>
  <si>
    <t># Set the Security alternate contact for the AWS account
resource "aws_account_alternate_contact" "&lt;example_resource_name&gt;" {
  alternate_contact_type = "SECURITY"  # Critical: ensures AWS can reach your security team
  email_address          = "&lt;SECURITY_EMAIL&gt;"  # Critical: contact destination
  name                   = "&lt;SECURITY_CONTACT_NAME&gt;"
  phone_number           = "&lt;SECURITY_PHONE&gt;"
  title                  = "Security"
}</t>
  </si>
  <si>
    <t>aws account put-alternate-contact --alternate-contact-type=SECURITY --email-address=&lt;SECURITY_EMAIL&gt; --name="&lt;SECURITY_CONTACT_NAME&gt;" --phone-number="&lt;SECURITY_PHONE&gt;" --title="Security"</t>
  </si>
  <si>
    <t>https://docs.aws.amazon.com/security-ir/latest/userguide/update-account-contact-info.html
https://docs.aws.amazon.com/accounts/latest/reference/manage-acct-update-contact-primary.html
https://aws.amazon.com/blogs/security/update-the-alternate-security-contact-across-your-aws-accounts-for-timely-security-notifications/
https://docs.aws.amazon.com/organizations/latest/userguide/orgs_manage_accounts_update_contacts.html
https://docs.aws.amazon.com/accounts/latest/reference/manage-acct-update-contact-alternate.html</t>
  </si>
  <si>
    <t>https://github.com/prowler-cloud/prowler/blob/master/prowler/providers/aws/services/account/account_maintain_current_contact_details/account_maintain_current_contact_details.py</t>
  </si>
  <si>
    <t>P-005</t>
  </si>
  <si>
    <t>2.3</t>
  </si>
  <si>
    <t>Ensure security contact information is registered</t>
  </si>
  <si>
    <t>account_security_contact_information_is_registered</t>
  </si>
  <si>
    <t>AWS account has security alternate contact registered</t>
  </si>
  <si>
    <t>Missing or outdated security contact can delay or prevent AWS advisories from reaching responders, increasing risk to:
- Confidentiality: data exfiltration from undetected compromise
- Integrity: unauthorized changes persist longer
- Availability: resource abuse (e.g., cryptomining) and outages</t>
  </si>
  <si>
    <t># Set the SECURITY alternate contact for the current AWS account
resource "aws_account_alternate_contact" "&lt;example_resource_name&gt;" {
  alternate_contact_type = "SECURITY"  # Critical: sets Security contact type
  email_address          = "security@example.com"  # Contact email
  name                   = "Security Team"         # Contact name
  phone_number           = "+1-555-0100"          # Contact phone
}</t>
  </si>
  <si>
    <t>aws account put-alternate-contact --alternate-contact-type SECURITY --email-address &lt;EMAIL_ADDRESS&gt; --name &lt;CONTACT_NAME&gt; --phone-number &lt;PHONE_NUMBER&gt;</t>
  </si>
  <si>
    <t>https://github.com/prowler-cloud/prowler/blob/master/prowler/providers/aws/services/account/account_security_contact_information_is_registered/account_security_contact_information_is_registered.py</t>
  </si>
  <si>
    <t>P-006</t>
  </si>
  <si>
    <t>2.4</t>
  </si>
  <si>
    <t>Ensure no 'root' user account access key exists</t>
  </si>
  <si>
    <t>Automated</t>
  </si>
  <si>
    <t>iam_no_root_access_key</t>
  </si>
  <si>
    <t>Root account has no active access keys</t>
  </si>
  <si>
    <t>AwsIamAccessKey</t>
  </si>
  <si>
    <t>Root access keys provide unrestricted API access. If exposed or misused, attackers can:
- Turn off logging and alter policies (integrity)
- Read or export data (confidentiality)
- Delete resources and lock out admins (availability)
Long-lived keys can persist and may bypass console-only MFA.</t>
  </si>
  <si>
    <t xml:space="preserve">Root account has two active access keys </t>
  </si>
  <si>
    <t xml:space="preserve">Root account has password configured but no access keys. </t>
  </si>
  <si>
    <t>https://docs.aws.amazon.com/IAM/latest/UserGuide/id_credentials_access-keys.html
https://docs.aws.amazon.com/IAM/latest/UserGuide/id_credentials_getting-report.html</t>
  </si>
  <si>
    <t>https://github.com/prowler-cloud/prowler/blob/master/prowler/providers/aws/services/iam/iam_no_root_access_key/iam_no_root_access_key.py</t>
  </si>
  <si>
    <t>P-007</t>
  </si>
  <si>
    <t>2.5</t>
  </si>
  <si>
    <t>Ensure MFA is enabled for the 'root' user account</t>
  </si>
  <si>
    <t>iam_root_mfa_enabled</t>
  </si>
  <si>
    <t>Root account has MFA enabled</t>
  </si>
  <si>
    <t>AwsIamUser</t>
  </si>
  <si>
    <t>Without MFA, compromise of the root password or access keys can lead to full account takeover. An attacker with root can disable protections, steal or delete data, change billing, and create persistent admins, undermining confidentiality, integrity, and availability.</t>
  </si>
  <si>
    <t xml:space="preserve">Root account has credentials without MFA </t>
  </si>
  <si>
    <t xml:space="preserve">Root account has credentials with MFA enabled. </t>
  </si>
  <si>
    <t>https://docs.aws.amazon.com/IAM/latest/UserGuide/id_root-user.html#id_root-user_manage_mfa</t>
  </si>
  <si>
    <t>https://github.com/prowler-cloud/prowler/blob/master/prowler/providers/aws/services/iam/iam_root_mfa_enabled/iam_root_mfa_enabled.py</t>
  </si>
  <si>
    <t>P-008</t>
  </si>
  <si>
    <t>2.6</t>
  </si>
  <si>
    <t>Ensure hardware MFA is enabled for the 'root' user account</t>
  </si>
  <si>
    <t>iam_root_hardware_mfa_enabled</t>
  </si>
  <si>
    <t>Root account has a hardware MFA device enabled</t>
  </si>
  <si>
    <t>Without hardware MFA on the root user:
- No MFA: stolen password/keys enable full account takeover.
- Virtual MFA: device compromise or backup restoration weakens second-factor assurance.
An attacker could delete resources, change policies, and disable logging, harming confidentiality, integrity, and availability.</t>
  </si>
  <si>
    <t xml:space="preserve">Root account has credentials with virtual MFA </t>
  </si>
  <si>
    <t xml:space="preserve">Root account has credentials with hardware MFA enabled. </t>
  </si>
  <si>
    <t>https://github.com/prowler-cloud/prowler/blob/master/prowler/providers/aws/services/iam/iam_root_hardware_mfa_enabled/iam_root_hardware_mfa_enabled.py</t>
  </si>
  <si>
    <t>P-009</t>
  </si>
  <si>
    <t>2.7</t>
  </si>
  <si>
    <t>Eliminate use of the 'root' user for administrative and daily tasks</t>
  </si>
  <si>
    <t>iam_avoid_root_usage</t>
  </si>
  <si>
    <t>AWS account root user has not been used in the last day</t>
  </si>
  <si>
    <t>Recent root usage expands blast radius:
- Data exfiltration (confidentiality)
- Policy/key tampering (integrity)
- Resource deletion and billing changes (availability)
Routine use reduces anomaly visibility and eases account takeover impact.</t>
  </si>
  <si>
    <t>Root user in the account was last accessed {days_since_accessed} days ago.</t>
  </si>
  <si>
    <t>Root user in the account wasn't accessed in the last {maximum_access_days} days.</t>
  </si>
  <si>
    <t>https://docs.aws.amazon.com/IAM/latest/UserGuide/root-user-best-practices.html</t>
  </si>
  <si>
    <t>https://github.com/prowler-cloud/prowler/blob/master/prowler/providers/aws/services/iam/iam_avoid_root_usage/iam_avoid_root_usage.py</t>
  </si>
  <si>
    <t>P-010</t>
  </si>
  <si>
    <t>2.8</t>
  </si>
  <si>
    <t>Ensure IAM password policy requires minimum length of 14 or greater</t>
  </si>
  <si>
    <t>iam_password_policy_minimum_length_14</t>
  </si>
  <si>
    <t>IAM password policy requires passwords to be at least 14 characters long</t>
  </si>
  <si>
    <t>AwsIamPolicy</t>
  </si>
  <si>
    <t>Low minimum length reduces entropy, easing brute force and credential stuffing. Compromised IAM users enable console access, unauthorized changes, and lateral movement, leading to data exposure (confidentiality) and tampering (integrity).</t>
  </si>
  <si>
    <t>IAM password policy does not require minimum length of 14 characters.</t>
  </si>
  <si>
    <t>IAM password policy requires minimum length of 14 characters.</t>
  </si>
  <si>
    <t>resource "aws_iam_account_password_policy" "&lt;example_resource_name&gt;" {
  minimum_password_length = 14  # Critical: enforces minimum password length &gt;=14
}</t>
  </si>
  <si>
    <t>aws iam update-account-password-policy --minimum-password-length 14</t>
  </si>
  <si>
    <t>https://docs.aws.amazon.com/config/latest/developerguide/iam-password-policy.html
https://docs.aws.amazon.com/IAM/latest/UserGuide/id_credentials_passwords_account-policy.html
https://docs.aws.amazon.com/sdk-for-ruby/v3/api/Aws/IAM/Resource.html</t>
  </si>
  <si>
    <t>https://github.com/prowler-cloud/prowler/blob/master/prowler/providers/aws/services/iam/iam_password_policy_minimum_length_14/iam_password_policy_minimum_length_14.py</t>
  </si>
  <si>
    <t>P-011</t>
  </si>
  <si>
    <t>2.9</t>
  </si>
  <si>
    <t>Ensure IAM password policy prevents password reuse</t>
  </si>
  <si>
    <t>iam_password_policy_reuse_24</t>
  </si>
  <si>
    <t>IAM password policy prevents reuse of the last 24 passwords</t>
  </si>
  <si>
    <t>If fewer than 24 passwords are remembered, users can cycle back to recent secrets, undermining rotation. Attackers with previously exposed passwords can regain console access after a change, reducing confidentiality and integrity and increasing success of credential-stuffing with known credentials.</t>
  </si>
  <si>
    <t>IAM password policy reuse prevention is less than 24 or not set.</t>
  </si>
  <si>
    <t>IAM password policy reuse prevention is equal to 24.</t>
  </si>
  <si>
    <t>resource "aws_iam_account_password_policy" "&lt;example_resource_name&gt;" {
  password_reuse_prevention = 24  # Critical: require last 24 passwords cannot be reused
}</t>
  </si>
  <si>
    <t>aws iam update-account-password-policy --password-reuse-prevention 24</t>
  </si>
  <si>
    <t>https://docs.aws.amazon.com/IAM/latest/UserGuide/id_credentials_passwords_account-policy.html</t>
  </si>
  <si>
    <t>https://github.com/prowler-cloud/prowler/blob/master/prowler/providers/aws/services/iam/iam_password_policy_reuse_24/iam_password_policy_reuse_24.py</t>
  </si>
  <si>
    <t>P-012</t>
  </si>
  <si>
    <t>2.10</t>
  </si>
  <si>
    <t>Ensure multi-factor authentication (MFA) is enabled for all IAM users that have a console password</t>
  </si>
  <si>
    <t>iam_user_mfa_enabled_console_access</t>
  </si>
  <si>
    <t>IAM user has MFA enabled for console access or no console password is set</t>
  </si>
  <si>
    <t>Without MFA, a stolen or brute-forced password grants full interactive access. Attackers can: - Change policies or keys - Exfiltrate data - Create backdoor users - Disable logging. This enables account takeover, threatens confidentiality and integrity, and can disrupt availability.</t>
  </si>
  <si>
    <t>User {user['user']} has Console Password enabled but MFA disabled.</t>
  </si>
  <si>
    <t>User {user['user']} has Console Password enabled and MFA enabled.</t>
  </si>
  <si>
    <t># IAM user without console password
resource "aws_iam_user" "user" {
  name = "&lt;example_resource_name&gt;"
  # Critical: Do NOT create an aws_iam_user_login_profile resource.
  # Without a login profile, no console password is set, so the check passes.
}</t>
  </si>
  <si>
    <t>aws iam delete-login-profile --user-name &lt;IAM_USER_NAME&gt;</t>
  </si>
  <si>
    <t>https://docs.aws.amazon.com/IAM/latest/UserGuide/id_credentials_mfa_enable_virtual.html</t>
  </si>
  <si>
    <t>https://github.com/prowler-cloud/prowler/blob/master/prowler/providers/aws/services/iam/iam_user_mfa_enabled_console_access/iam_user_mfa_enabled_console_access.py</t>
  </si>
  <si>
    <t>P-013</t>
  </si>
  <si>
    <t>2.11</t>
  </si>
  <si>
    <t>Ensure credentials unused for 45 days or more are disabled</t>
  </si>
  <si>
    <t>iam_user_accesskey_unused</t>
  </si>
  <si>
    <t>IAM user does not have unused access keys older than 45 days</t>
  </si>
  <si>
    <t>Active yet unused keys expand the attack surface. If leaked, adversaries gain API access for data exfiltration, unauthorized changes, and resource abuse, harming confidentiality, integrity, and availability. Stale credentials also enable persistence and unexpected cost spikes.</t>
  </si>
  <si>
    <t>User {user['user']} has not used access key 1 in the last {maximum_expiration_days} days ({access_key_1_last_used_date.days} days).</t>
  </si>
  <si>
    <t>User {user['user']} does not have access keys.</t>
  </si>
  <si>
    <t>aws iam update-access-key --user-name &lt;USER_NAME&gt; --access-key-id &lt;ACCESS_KEY_ID&gt; --status Inactive</t>
  </si>
  <si>
    <t>https://docs.aws.amazon.com/IAM/latest/UserGuide/id_credentials_finding-unused.html
https://docs.aws.amazon.com/securityhub/latest/userguide/iam-controls.html</t>
  </si>
  <si>
    <t>https://github.com/prowler-cloud/prowler/blob/master/prowler/providers/aws/services/iam/iam_user_accesskey_unused/iam_user_accesskey_unused.py</t>
  </si>
  <si>
    <t>P-014</t>
  </si>
  <si>
    <t>iam_user_console_access_unused</t>
  </si>
  <si>
    <t>IAM user console access is disabled, used within the configured inactivity period, or never used</t>
  </si>
  <si>
    <t>Dormant console credentials stay valid and invite password spraying, credential stuffing, and breach reuse. Compromise yields interactive access for data discovery/exfiltration and unauthorized IAM or resource changes, degrading confidentiality and integrity, and risking availability.</t>
  </si>
  <si>
    <t>User {user.name} has not logged in to the console in the past {maximum_expiration_days} days ({time_since_insertion.days} days).</t>
  </si>
  <si>
    <t>User {user.name} has logged in to the console in the past {maximum_expiration_days} days ({time_since_insertion.days} days).</t>
  </si>
  <si>
    <t># IAM user with console access disabled by not creating a login profile
resource "aws_iam_user" "&lt;example_resource_name&gt;" {
  name = "&lt;example_resource_name&gt;"
  # Critical: Do not define aws_iam_user_login_profile for this user -&gt; no console access
}</t>
  </si>
  <si>
    <t>aws iam delete-login-profile --user-name &lt;USER_NAME&gt;</t>
  </si>
  <si>
    <t>https://github.com/prowler-cloud/prowler/blob/master/prowler/providers/aws/services/iam/iam_user_console_access_unused/iam_user_console_access_unused.py</t>
  </si>
  <si>
    <t>P-015</t>
  </si>
  <si>
    <t>2.12</t>
  </si>
  <si>
    <t>Ensure access keys are rotated every 90 days or less</t>
  </si>
  <si>
    <t>iam_rotate_access_key_90_days</t>
  </si>
  <si>
    <t>IAM user does not have active access keys older than 90 days</t>
  </si>
  <si>
    <t>Long-lived access keys widen the attack window. If a key is leaked in code, logs, or tooling, lack of rotation keeps it valid for abuse, enabling unauthorized API calls, data exfiltration, and tampering. This degrades confidentiality and integrity and can impact availability and cost through destructive or excessive operations.</t>
  </si>
  <si>
    <t>User {user['user']} has not rotated access key 1 in over 90 days ({access_key_1_last_rotated.days} days).</t>
  </si>
  <si>
    <t>resource "aws_iam_access_key" "&lt;example_resource_name&gt;" {
  user   = "&lt;example_resource_name&gt;"
  status = "Inactive" # Critical: disables the access key to ensure no active key is older than 90 days
}</t>
  </si>
  <si>
    <t>https://docs.aws.amazon.com/IAM/latest/UserGuide/id_credentials_getting-report.html</t>
  </si>
  <si>
    <t>https://github.com/prowler-cloud/prowler/blob/master/prowler/providers/aws/services/iam/iam_rotate_access_key_90_days/iam_rotate_access_key_90_days.py</t>
  </si>
  <si>
    <t>P-016</t>
  </si>
  <si>
    <t>2.13</t>
  </si>
  <si>
    <t>Ensure IAM users receive permissions only through groups</t>
  </si>
  <si>
    <t>iam_policy_attached_only_to_group_or_roles</t>
  </si>
  <si>
    <t>IAM user has no inline or attached policies</t>
  </si>
  <si>
    <t>low</t>
  </si>
  <si>
    <t>Directly attached user policies hinder centralized control and cause privilege creep. If a user is compromised, excessive rights enable data exposure, resource tampering, and lateral movement, harming confidentiality and integrity. Revocation is error-prone, weakening separation of duties and auditability.</t>
  </si>
  <si>
    <t>User {user.name} has the policy {policy['PolicyName']} attached.</t>
  </si>
  <si>
    <t>User {user.name} has no inline or attached policies.</t>
  </si>
  <si>
    <t>https://docs.aws.amazon.com/securityhub/latest/userguide/iam-controls.html
https://docs.aws.amazon.com/IAM/latest/UserGuide/best-practices.html</t>
  </si>
  <si>
    <t>https://github.com/prowler-cloud/prowler/blob/master/prowler/providers/aws/services/iam/iam_policy_attached_only_to_group_or_roles/iam_policy_attached_only_to_group_or_roles.py</t>
  </si>
  <si>
    <t>P-017</t>
  </si>
  <si>
    <t>2.14</t>
  </si>
  <si>
    <t>Ensure IAM policies that allow full "*:*" administrative privileges are not attached</t>
  </si>
  <si>
    <t>iam_aws_attached_policy_no_administrative_privileges</t>
  </si>
  <si>
    <t>Attached AWS-managed IAM policy does not allow ':' administrative privileges</t>
  </si>
  <si>
    <t>Unrestricted : access enables any action on any resource, risking:
- Data exfiltration (confidentiality)
- Unauthorized changes and policy tampering (integrity)
- Service deletion or shutdown (availability)
Attackers can disable logging, create backdoor principals, and expand lateral movement.</t>
  </si>
  <si>
    <t>{policy.type} policy {policy.name} is attached and allows '*:*' administrative privileges.</t>
  </si>
  <si>
    <t>{policy.type} policy {policy.name} is attached but does not allow '*:*' administrative privileges.</t>
  </si>
  <si>
    <t># Replace full admin attachment with a non-admin policy (ensure AdministratorAccess is not attached)
resource "aws_iam_role_policy_attachment" "&lt;example_resource_name&gt;" {
  role       = "&lt;example_resource_name&gt;"
  policy_arn = "arn:aws:iam::aws:policy/ReadOnlyAccess"  # FIX: avoids ':' admin privileges; replace AdministratorAccess
}</t>
  </si>
  <si>
    <t>https://docs.aws.amazon.com/aws-managed-policy/latest/reference/AdministratorAccess.html
http://docs.aws.amazon.com/IAM/latest/UserGuide/best-practices.html</t>
  </si>
  <si>
    <t>https://github.com/prowler-cloud/prowler/blob/master/prowler/providers/aws/services/iam/iam_aws_attached_policy_no_administrative_privileges/iam_aws_attached_policy_no_administrative_privileges.py</t>
  </si>
  <si>
    <t>P-018</t>
  </si>
  <si>
    <t>iam_customer_attached_policy_no_administrative_privileges</t>
  </si>
  <si>
    <t>Attached IAM customer-managed policy does not allow ':' administrative privileges</t>
  </si>
  <si>
    <t>Unrestricted admin access lets any attached principal perform any action on any resource, enabling data exfiltration, policy tampering, credential creation, logging disablement, and destructive deletions-compromising confidentiality, integrity, and availability across the account.</t>
  </si>
  <si>
    <t># Terraform: Managed policy without ':' admin privileges
resource "aws_iam_policy" "&lt;example_resource_name&gt;" {
  name   = "&lt;example_resource_name&gt;"
  policy = jsonencode({
    Version   = "2012-10-17"
    Statement = [{
      Effect   = "Allow"
      Action   = "iam:GetUser"  # CRITICAL: not "" or ":"; removes admin privileges
      Resource = ""             # CRITICAL: paired with specific action to avoid full admin
    }]
  })
}</t>
  </si>
  <si>
    <t>aws iam create-policy-version --policy-arn &lt;EXAMPLE_POLICY_ARN&gt; --policy-document '{"Version":"2012-10-17","Statement":[{"Effect":"Allow","Action":"iam:GetUser","Resource":""}]}' --set-as-default</t>
  </si>
  <si>
    <t>http://docs.aws.amazon.com/IAM/latest/UserGuide/best-practices.html</t>
  </si>
  <si>
    <t>https://github.com/prowler-cloud/prowler/blob/master/prowler/providers/aws/services/iam/iam_customer_attached_policy_no_administrative_privileges/iam_customer_attached_policy_no_administrative_privileges.py</t>
  </si>
  <si>
    <t>P-019</t>
  </si>
  <si>
    <t>2.15</t>
  </si>
  <si>
    <t>Ensure a support role has been created to manage incidents with AWS Support</t>
  </si>
  <si>
    <t>iam_support_role_created</t>
  </si>
  <si>
    <t>At least one IAM role has the AWSSupportAccess managed policy attached</t>
  </si>
  <si>
    <t>AwsIamRole</t>
  </si>
  <si>
    <t>Without a dedicated support role:
- Case creation and escalation can be delayed, prolonging outages (availability)
- Teams may use admin/root, increasing blast radius (confidentiality/integrity)
- Audit trails of support actions are weaker, hindering investigations</t>
  </si>
  <si>
    <t>AWS Support Access policy is not attached to any role.</t>
  </si>
  <si>
    <t>AWS Support Access policy attached to role {iam_client.entities_role_attached_to_support_policy[0]['RoleName']}.</t>
  </si>
  <si>
    <t># IAM role with AWS Support access
resource "aws_iam_role" "example_resource_name" {
  name               = "example_resource_name"
  assume_role_policy = jsonencode({
    Version   = "2012-10-17",
    Statement = [{
      Effect    = "Allow",
      Principal = { AWS = "arn:aws:iam::&lt;example_account_id&gt;:user/&lt;example_resource_name&gt;" },
      Action    = "sts:AssumeRole"
    }]
  })
  managed_policy_arns = [
    "arn:aws:iam::aws:policy/AWSSupportAccess"  # Critical: ensures this role has AWSSupportAccess (PASS)
  ]
}</t>
  </si>
  <si>
    <t>aws iam attach-role-policy --role-name &lt;example_resource_name&gt; --policy-arn arn:aws:iam::aws:policy/AWSSupportAccess</t>
  </si>
  <si>
    <t>https://docs.aws.amazon.com/awssupport/latest/user/using-service-linked-roles-sup.html
https://docs.aws.amazon.com/aws-managed-policy/latest/reference/AWSSupportAccess.html</t>
  </si>
  <si>
    <t>https://github.com/prowler-cloud/prowler/blob/master/prowler/providers/aws/services/iam/iam_support_role_created/iam_support_role_created.py</t>
  </si>
  <si>
    <t>P-020</t>
  </si>
  <si>
    <t>2.16</t>
  </si>
  <si>
    <t>Ensure IAM instance roles are used for AWS resource access from instances</t>
  </si>
  <si>
    <t>ec2_instance_profile_attached</t>
  </si>
  <si>
    <t>EC2 instance is associated with an IAM instance profile role</t>
  </si>
  <si>
    <t>ec2</t>
  </si>
  <si>
    <t>AwsEc2Instance</t>
  </si>
  <si>
    <t>compute</t>
  </si>
  <si>
    <t>Without an instance profile, apps often rely on long-term access keys on the host. Exposed keys can be used from anywhere to read data, alter resources, or disrupt services, impacting confidentiality, integrity, and availability. Keys may persist in AMIs, images, or logs, hindering rotation and amplifying blast radius.</t>
  </si>
  <si>
    <t>EC2 Instance {instance.id} not associated with an Instance Profile Role.</t>
  </si>
  <si>
    <t>EC2 Instance {instance.id} associated with Instance Profile Role {instance.instance_profile['Arn']}.</t>
  </si>
  <si>
    <t># Attach an IAM instance profile to the EC2 instance
resource "aws_instance" "example" {
  ami                  = "&lt;AMI_ID&gt;"
  instance_type        = "&lt;INSTANCE_TYPE&gt;"
  iam_instance_profile = "&lt;INSTANCE_PROFILE_NAME&gt;"  # Critical: associates an instance profile so the check passes
}</t>
  </si>
  <si>
    <t>aws ec2 associate-iam-instance-profile --instance-id &lt;INSTANCE_ID&gt; --iam-instance-profile Name=&lt;INSTANCE_PROFILE_NAME&gt;</t>
  </si>
  <si>
    <t>http://docs.aws.amazon.com/IAM/latest/UserGuide/id_roles_use_switch-role-ec2.html</t>
  </si>
  <si>
    <t>https://github.com/prowler-cloud/prowler/blob/master/prowler/providers/aws/services/ec2/ec2_instance_profile_attached/ec2_instance_profile_attached.py</t>
  </si>
  <si>
    <t>P-021</t>
  </si>
  <si>
    <t>2.17</t>
  </si>
  <si>
    <t>Ensure that all expired SSL/TLS certificates stored in AWS IAM are removed</t>
  </si>
  <si>
    <t>iam_no_expired_server_certificates_stored</t>
  </si>
  <si>
    <t>IAM server certificate is not expired</t>
  </si>
  <si>
    <t>AwsCertificateManagerCertificate</t>
  </si>
  <si>
    <t>Retaining expired TLS certificates risks availability loss from failed handshakes and browser warnings, eroding trust.
If attached to endpoints, users may bypass warnings, weakening confidentiality and integrity. Stale certs also hinder secure rotation and may be picked by automation, causing outages.</t>
  </si>
  <si>
    <t>IAM Certificate {certificate.name} has expired {expiration_days} days ago.</t>
  </si>
  <si>
    <t>IAM Certificate {certificate.name} is not expired.</t>
  </si>
  <si>
    <t>aws iam delete-server-certificate --server-certificate-name &lt;CERTIFICATE_NAME&gt;</t>
  </si>
  <si>
    <t>https://docs.aws.amazon.com/IAM/latest/UserGuide/id_credentials_server-certs.html</t>
  </si>
  <si>
    <t>https://github.com/prowler-cloud/prowler/blob/master/prowler/providers/aws/services/iam/iam_no_expired_server_certificates_stored/iam_no_expired_server_certificates_stored.py</t>
  </si>
  <si>
    <t>P-022</t>
  </si>
  <si>
    <t>2.18</t>
  </si>
  <si>
    <t>Ensure that IAM External Access Analyzer is enabled for all regions</t>
  </si>
  <si>
    <t>accessanalyzer_enabled</t>
  </si>
  <si>
    <t>IAM Access Analyzer is enabled</t>
  </si>
  <si>
    <t>accessanalyzer</t>
  </si>
  <si>
    <t>security</t>
  </si>
  <si>
    <t>Without an active analyzer, visibility into unintended public, cross-account, or risky internal access is lost. Adversaries can exploit exposed S3, snapshots, KMS keys, or permissive role trusts for data exfiltration and escalation. Unused permissions persist, enlarging the attack surface. This degrades confidentiality and integrity.</t>
  </si>
  <si>
    <t>IAM Access Analyzer in account {accessanalyzer_client.audited_account} is not enabled.</t>
  </si>
  <si>
    <t>IAM Access Analyzer {analyzer.name} is enabled.</t>
  </si>
  <si>
    <t>resource "aws_accessanalyzer_analyzer" "example_resource" {
  analyzer_name = "example_resource"
  type          = "ACCOUNT" # This line fixes the security issue
}</t>
  </si>
  <si>
    <t>aws accessanalyzer create-analyzer --analyzer-name example_resource --type ACCOUNT</t>
  </si>
  <si>
    <t>https://docs.aws.amazon.com/IAM/latest/UserGuide/access-analyzer-manage-external.html
https://aws.amazon.com/iam/access-analyzer/
https://docs.aws.amazon.com/IAM/latest/UserGuide/access-analyzer-getting-started.html
https://docs.aws.amazon.com/access-analyzer/latest/APIReference/API_CreateAnalyzer.html
https://docs.aws.amazon.com/IAM/latest/UserGuide/what-is-access-analyzer.html
https://docs.aws.amazon.com/IAM/latest/UserGuide/access-analyzer-create-external.html
https://docs.aws.amazon.com/access-analyzer/latest/APIReference/Welcome.html
https://docs.aws.amazon.com/IAM/latest/UserGuide/access-analyzer-create-internal.html</t>
  </si>
  <si>
    <t>https://github.com/prowler-cloud/prowler/blob/master/prowler/providers/aws/services/accessanalyzer/accessanalyzer_enabled/accessanalyzer_enabled.py</t>
  </si>
  <si>
    <t>P-023</t>
  </si>
  <si>
    <t>2.19</t>
  </si>
  <si>
    <t>Ensure IAM users are managed centrally via identity federation or AWS Organizations for multi-account environments</t>
  </si>
  <si>
    <t>iam_check_saml_providers_sts</t>
  </si>
  <si>
    <t>IAM SAML provider exists in the account</t>
  </si>
  <si>
    <t>Without SAML federation, users rely on long-lived IAM keys. Compromised keys enable persistent API access, causing data exfiltration (C), unauthorized resource or policy changes (I), and difficult revocation. Lack of IdP controls (e.g., MFA, session limits) weakens accountability and access governance.</t>
  </si>
  <si>
    <t>No SAML Providers found.</t>
  </si>
  <si>
    <t>SAML Provider {provider.name} has been found.</t>
  </si>
  <si>
    <t># Create an IAM SAML provider to satisfy the check
resource "aws_iam_saml_provider" "&lt;example_resource_name&gt;" {
  name                   = "&lt;example_resource_name&gt;"
  saml_metadata_document = file("&lt;SAML_METADATA_XML_FILE&gt;") # Critical: creates the SAML provider so the check passes
}</t>
  </si>
  <si>
    <t>aws iam create-saml-provider --name &lt;SAML_PROVIDER_NAME&gt; --saml-metadata-document file://&lt;SAML_METADATA_XML_FILE&gt;</t>
  </si>
  <si>
    <t>https://docs.aws.amazon.com/STS/latest/APIReference/API_AssumeRoleWithSAML.html</t>
  </si>
  <si>
    <t>https://github.com/prowler-cloud/prowler/blob/master/prowler/providers/aws/services/iam/iam_check_saml_providers_sts/iam_check_saml_providers_sts.py</t>
  </si>
  <si>
    <t>P-024</t>
  </si>
  <si>
    <t>2.20</t>
  </si>
  <si>
    <t>Ensure access to AWSCloudShellFullAccess is restricted</t>
  </si>
  <si>
    <t>iam_policy_cloudshell_admin_not_attached</t>
  </si>
  <si>
    <t>No IAM users, groups, or roles have the AWSCloudShellFullAccess policy attached</t>
  </si>
  <si>
    <t>Granting cloudshell: enables an interactive shell with Internet egress and file upload/download, degrading confidentiality and integrity.
Compromised principals can exfiltrate data, stage tooling with sudo, persist artifacts in CloudShell, and operate from AWS IP space to bypass endpoint controls.</t>
  </si>
  <si>
    <t>AWS CloudShellFullAccess policy attached to IAM {', '.join(entity_strings)}.</t>
  </si>
  <si>
    <t>AWS CloudShellFullAccess policy is not attached to any IAM entity.</t>
  </si>
  <si>
    <t># Terraform: ensure AWSCloudShellFullAccess is NOT attached
resource "aws_iam_user_policy_attachment" "&lt;example_resource_name&gt;" {
  count      = 0  # Critical: prevents creation, ensuring the policy is detached/not attached
  user       = "&lt;example_resource_name&gt;"
  policy_arn = "arn:aws:iam::aws:policy/AWSCloudShellFullAccess"  # Denied policy
}</t>
  </si>
  <si>
    <t>https://docs.aws.amazon.com/securityhub/latest/userguide/iam-controls.html#iam-27
https://docs.aws.amazon.com/config/latest/developerguide/iam-policy-blacklisted-check.html
https://docs.aws.amazon.com/IAM/latest/UserGuide/access_policies_manage-attach-detach.html</t>
  </si>
  <si>
    <t>https://github.com/prowler-cloud/prowler/blob/master/prowler/providers/aws/services/iam/iam_policy_cloudshell_admin_not_attached/iam_policy_cloudshell_admin_not_attached.py</t>
  </si>
  <si>
    <t>P-025</t>
  </si>
  <si>
    <t>2.21</t>
  </si>
  <si>
    <t>Ensure AWS resource policies do not allow unrestricted access using 'Principal': '*'</t>
  </si>
  <si>
    <t>s3_bucket_policy_public_write_access</t>
  </si>
  <si>
    <t>S3 bucket policy does not allow public write access</t>
  </si>
  <si>
    <t>s3</t>
  </si>
  <si>
    <t>AwsS3Bucket</t>
  </si>
  <si>
    <t>storage</t>
  </si>
  <si>
    <t>Public write access lets anyone upload, overwrite, or delete objects, undermining integrity and availability. Attackers can plant malware, stage phishing content, poison data, or wipe buckets, causing outages and potential legal and cost impacts from storage abuse and content hosting.</t>
  </si>
  <si>
    <t>S3 Bucket {bucket.name} allows public write access in the bucket policy.</t>
  </si>
  <si>
    <t>S3 Bucket {bucket.name} does not have a bucket policy.</t>
  </si>
  <si>
    <t># Enable bucket-level Public Access Block so public bucket policies (including write) are blocked
resource "aws_s3_bucket_public_access_block" "&lt;example_resource_name&gt;" {
  bucket                   = "&lt;example_resource_id&gt;"
  restrict_public_buckets  = true  # Critical: prevents public access granted via bucket policies
}</t>
  </si>
  <si>
    <t>aws s3api put-public-access-block --bucket &lt;BUCKET_NAME&gt; --public-access-block-configuration RestrictPublicBuckets=true</t>
  </si>
  <si>
    <t>https://docs.aws.amazon.com/IAM/latest/UserGuide/reference_policies_examples_s3_rw-bucket.html</t>
  </si>
  <si>
    <t>https://github.com/prowler-cloud/prowler/blob/master/prowler/providers/aws/services/s3/s3_bucket_policy_public_write_access/s3_bucket_policy_public_write_access.py</t>
  </si>
  <si>
    <t>P-026</t>
  </si>
  <si>
    <t>sqs_queues_not_publicly_accessible</t>
  </si>
  <si>
    <t>SQS queue policy does not allow public access</t>
  </si>
  <si>
    <t>sqs</t>
  </si>
  <si>
    <t>AwsSqsQueue</t>
  </si>
  <si>
    <t>messaging</t>
  </si>
  <si>
    <t>Public SQS access can expose message data (confidentiality), enable unauthorized send/receive or tampering (integrity), and allow purge/delete operations that disrupt processing (availability). It may also trigger unbounded message ingestion, causing cost spikes and consumer overload.</t>
  </si>
  <si>
    <t>SQS queue {queue.id} is public because its policy allows public access, and the condition does not limit access to resources within the same account.</t>
  </si>
  <si>
    <t>SQS queue {queue.id} is not public.</t>
  </si>
  <si>
    <t># Restrict SQS policy to a specific principal (not public)
resource "aws_sqs_queue_policy" "&lt;example_resource_name&gt;" {
  queue_url = "&lt;example_queue_url&gt;"
  policy    = jsonencode({
    Version   = "2012-10-17"
    Statement = [{
      Effect    = "Allow"
      Principal = { AWS = "&lt;example_account_id&gt;" } # CRITICAL: restrict to a specific principal (removes public "")
      Action    = "sqs:"
      Resource  = "&lt;example_queue_arn&gt;"
    }]
  })
}</t>
  </si>
  <si>
    <t>aws sqs set-queue-attributes --queue-url &lt;example_queue_url&gt; --attributes Policy='{"Version":"2012-10-17","Statement":[{"Effect":"Allow","Principal":{"AWS":"&lt;example_account_id&gt;"},"Action":"sqs:","Resource":"&lt;example_queue_arn&gt;"}]}'</t>
  </si>
  <si>
    <t>https://docs.aws.amazon.com/AWSSimpleQueueService/latest/SQSDeveloperGuide/sqs-basic-examples-of-sqs-policies.html</t>
  </si>
  <si>
    <t>https://github.com/prowler-cloud/prowler/blob/master/prowler/providers/aws/services/sqs/sqs_queues_not_publicly_accessible/sqs_queues_not_publicly_accessible.py</t>
  </si>
  <si>
    <t>P-027</t>
  </si>
  <si>
    <t>sns_topics_not_publicly_accessible</t>
  </si>
  <si>
    <t>SNS topic is not publicly accessible</t>
  </si>
  <si>
    <t>sns</t>
  </si>
  <si>
    <t>AwsSnsTopic</t>
  </si>
  <si>
    <t>Public SNS topics allow anyone or unknown accounts to:
- Subscribe and siphon messages (confidentiality)
- Publish spoofed payloads that alter workflows (integrity)
- Flood messages causing outages and costs (availability)
They also enable cross-account abuse and bypass expected trust boundaries.</t>
  </si>
  <si>
    <t>SNS topic {topic.name} is public because its policy allows public access.</t>
  </si>
  <si>
    <t>SNS topic {topic.name} is not publicly accessible.</t>
  </si>
  <si>
    <t># Restrict SNS topic policy to the account (not public)
resource "aws_sns_topic_policy" "&lt;example_resource_name&gt;" {
  arn    = "&lt;TOPIC_ARN&gt;"
  policy = jsonencode({
    Version   = "2012-10-17"
    Statement = [{
      Effect    = "Allow"
      Action    = "sns:Publish"
      Resource  = "&lt;TOPIC_ARN&gt;"
      Principal = { AWS = "arn:aws:iam::&lt;ACCOUNT_ID&gt;:root" } # Critical: restrict principal to the account to remove public access
    }]
  })
}</t>
  </si>
  <si>
    <t>aws sns set-topic-attributes --topic-arn &lt;TOPIC_ARN&gt; --attribute-name Policy --attribute-value '{"Version":"2012-10-17","Statement":[{"Effect":"Allow","Principal":{"AWS":"arn:aws:iam::&lt;ACCOUNT_ID&gt;:root"},"Action":"sns:Publish","Resource":"&lt;TOPIC_ARN&gt;"}]}'</t>
  </si>
  <si>
    <t>https://docs.aws.amazon.com/config/latest/developerguide/sns-topic-policy.html</t>
  </si>
  <si>
    <t>https://github.com/prowler-cloud/prowler/blob/master/prowler/providers/aws/services/sns/sns_topics_not_publicly_accessible/sns_topics_not_publicly_accessible.py</t>
  </si>
  <si>
    <t>P-028</t>
  </si>
  <si>
    <t>awslambda_function_not_publicly_accessible</t>
  </si>
  <si>
    <t>Lambda function resource-based policy does not allow public access</t>
  </si>
  <si>
    <t>awslambda</t>
  </si>
  <si>
    <t>AwsLambdaFunction</t>
  </si>
  <si>
    <t>serverless</t>
  </si>
  <si>
    <t>Public invocation lets outsiders run code under the function's IAM role.
Impacts:
- Confidentiality: data exfiltration via backend access
- Integrity: unauthorized state changes from side effects
- Availability/cost: invocation floods causing throttling and spend spikes</t>
  </si>
  <si>
    <t>Lambda function {function.name} has a resource-based policy with public access.</t>
  </si>
  <si>
    <t>Lambda function {function.name} has a resource-based policy without public access.</t>
  </si>
  <si>
    <t># Restrict Lambda permission to a non-public principal
resource "aws_lambda_permission" "&lt;example_resource_name&gt;" {
  statement_id  = "AllowSpecificPrincipal"
  action        = "lambda:InvokeFunction"
  function_name = "&lt;example_resource_name&gt;"
  principal     = "123456789012"  # Critical: not ""; prevents public access
}</t>
  </si>
  <si>
    <t>aws lambda remove-permission --function-name &lt;example_function_name&gt; --statement-id &lt;example_statement_id&gt;</t>
  </si>
  <si>
    <t>https://docs.aws.amazon.com/config/latest/developerguide/lambda-function-public-access-prohibited.html
https://docs.aws.amazon.com/lambda/latest/dg/access-control-resource-based.html
https://docs.aws.amazon.com/securityhub/latest/userguide/lambda-controls.html</t>
  </si>
  <si>
    <t>https://github.com/prowler-cloud/prowler/blob/master/prowler/providers/aws/services/awslambda/awslambda_function_not_publicly_accessible/awslambda_function_not_publicly_accessible.py</t>
  </si>
  <si>
    <t>P-029</t>
  </si>
  <si>
    <t>kms_key_not_publicly_accessible</t>
  </si>
  <si>
    <t>Cloud KMS key does not grant access to allUsers or allAuthenticatedUsers</t>
  </si>
  <si>
    <t>kms</t>
  </si>
  <si>
    <t>AwsKmsKey</t>
  </si>
  <si>
    <t>Broad access to a KMS key enables unauthorized kms:Decrypt and data-key generation, breaking confidentiality. With admin rights, attackers can change policies or schedule deletion, undermining control integrity and threatening availability of data dependent on the key.</t>
  </si>
  <si>
    <t>KMS key {key.id} may be publicly accessible.</t>
  </si>
  <si>
    <t>KMS key {key.id} is not exposed to Public.</t>
  </si>
  <si>
    <t># Restrict KMS key policy to the account root to avoid any public ("") principals
data "aws_caller_identity" "current" {}
resource "aws_kms_key" "&lt;example_resource_name&gt;" {
  policy = jsonencode({
    Version   = "2012-10-17"
    Statement = [
      {
        Effect    = "Allow"
        Principal = { AWS = "arn:aws:iam::${data.aws_caller_identity.current.account_id}:root" } # Critical: limit to account root to remove public access
        Action    = "kms:"
        Resource  = ""
      }
    ]
  })
}</t>
  </si>
  <si>
    <t>aws kms put-key-policy --key-id &lt;example_resource_id&gt; --policy-name default --policy '{"Version":"2012-10-17","Statement":[{"Effect":"Allow","Principal":{"AWS":"arn:aws:iam::&lt;account_id&gt;:root"},"Action":"kms:\","Resource":"\"}]}'</t>
  </si>
  <si>
    <t>https://docs.aws.amazon.com/kms/latest/developerguide/determining-access.html</t>
  </si>
  <si>
    <t>https://github.com/prowler-cloud/prowler/blob/master/prowler/providers/aws/services/kms/kms_key_not_publicly_accessible/kms_key_not_publicly_accessible.py</t>
  </si>
  <si>
    <t>P-030</t>
  </si>
  <si>
    <t>glacier_vaults_policy_public_access</t>
  </si>
  <si>
    <t>S3 Glacier vault has no policy or its policy does not allow access to everyone</t>
  </si>
  <si>
    <t>glacier</t>
  </si>
  <si>
    <t>Publicly grantable vault access undermines confidentiality and integrity. Anyone could list, retrieve, or delete archives, leading to data exposure or loss. Attackers may also trigger large retrieval operations, degrading availability and driving unexpected costs.</t>
  </si>
  <si>
    <t>Vault {vault.name} has policy which allows access to everyone.</t>
  </si>
  <si>
    <t>Vault {vault.name} has policy which does not allow access to everyone.</t>
  </si>
  <si>
    <t># Glacier vault with no access policy (not public)
resource "aws_glacier_vault" "&lt;example_resource_name&gt;" {
  name = "&lt;example_resource_name&gt;"
  # access_policy omitted to remove any public access and pass the check
}</t>
  </si>
  <si>
    <t>aws glacier delete-vault-access-policy --account-id &lt;ACCOUNT_ID&gt; --vault-name &lt;VAULT_NAME&gt;</t>
  </si>
  <si>
    <t>https://docs.aws.amazon.com/amazonglacier/latest/dev/access-control-overview.html</t>
  </si>
  <si>
    <t>https://github.com/prowler-cloud/prowler/blob/master/prowler/providers/aws/services/glacier/glacier_vaults_policy_public_access/glacier_vaults_policy_public_access.py</t>
  </si>
  <si>
    <t>P-031</t>
  </si>
  <si>
    <t>secretsmanager_not_publicly_accessible</t>
  </si>
  <si>
    <t>Secrets Manager secret resource policy does not allow public access</t>
  </si>
  <si>
    <t>secretsmanager</t>
  </si>
  <si>
    <t>AwsSecretsManagerSecret</t>
  </si>
  <si>
    <t>Public access to a secret enables uncontrolled retrieval of secret values, compromising confidentiality. If broad actions are allowed, attackers can modify or delete the secret, impacting integrity and availability, and use exposed credentials for unauthorized data access and lateral movement.</t>
  </si>
  <si>
    <t>SecretsManager secret {secret.name} is publicly accessible due to its resource policy.</t>
  </si>
  <si>
    <t>SecretsManager secret {secret.name} is not publicly accessible.</t>
  </si>
  <si>
    <t># Restrict secret policy and block public access
resource "aws_secretsmanager_secret_policy" "&lt;example_resource_name&gt;" {
  secret_arn         = "&lt;example_resource_id&gt;"
  block_public_policy = true  # Critical: blocks public policies
  policy = jsonencode({       # Critical: principal is not ""
    Version = "2012-10-17"
    Statement = [{
      Effect    = "Allow"
      Principal = { AWS = "arn:aws:iam::&lt;ACCOUNT_ID&gt;:root" }
      Action    = "secretsmanager:GetSecretValue"
      Resource  = ""
    }]
  })
}</t>
  </si>
  <si>
    <t>aws secretsmanager put-resource-policy --secret-id &lt;secret-id&gt; --resource-policy '{"Version":"2012-10-17","Statement":[{"Effect":"Allow","Principal":{"AWS":"arn:aws:iam::&lt;ACCOUNT_ID&gt;:root"},"Action":"secretsmanager:GetSecretValue","Resource":""}]}' --block-public-policy</t>
  </si>
  <si>
    <t>https://docs.aws.amazon.com/secretsmanager/latest/userguide/auth-and-access_resource-policies.html
https://docs.aws.amazon.com/secretsmanager/latest/userguide/determine-acccess_examine-iam-policies.html</t>
  </si>
  <si>
    <t>https://github.com/prowler-cloud/prowler/blob/master/prowler/providers/aws/services/secretsmanager/secretsmanager_not_publicly_accessible/secretsmanager_not_publicly_accessible.py</t>
  </si>
  <si>
    <t>P-032</t>
  </si>
  <si>
    <t>eventbridge_bus_exposed</t>
  </si>
  <si>
    <t>AWS EventBridge event bus policy does not allow public access</t>
  </si>
  <si>
    <t>eventbridge</t>
  </si>
  <si>
    <t>AwsEventsEventbus</t>
  </si>
  <si>
    <t>Publicly accessible event buses enable event injection and unauthorized rule changes, undermining integrity and enabling lateral movement. Attackers can trigger downstream targets, causing data exposure, service disruption, and unexpected costs through high-volume events.</t>
  </si>
  <si>
    <t>EventBridge event bus {bus.name} is exposed to everyone.</t>
  </si>
  <si>
    <t>EventBridge event bus {bus.name} is not exposed to everyone.</t>
  </si>
  <si>
    <t>resource "aws_cloudwatch_event_bus_policy" "&lt;example_resource_name&gt;" {
  # CRITICAL: Principal is a specific AWS account, not "", preventing public access
  policy = &lt;&lt;POLICY
{
  "Version": "2012-10-17",
  "Statement": [{
    "Sid": "AllowSpecificAccount",
    "Effect": "Allow",
    "Principal": {"AWS": "arn:aws:iam::&lt;example_account_id&gt;:root"},
    "Action": "events:PutEvents",
    "Resource": "arn:aws:events:&lt;example_region&gt;:&lt;example_account_id&gt;:event-bus/default"
  }]
}
POLICY
}</t>
  </si>
  <si>
    <t>aws events remove-permission --event-bus-name &lt;event_bus_name&gt; --statement-id &lt;statement_id&gt;</t>
  </si>
  <si>
    <t>https://docs.aws.amazon.com/AmazonCloudWatch/latest/events/CloudWatchEvents-CrossAccountEventDelivery.html
https://docs.aws.amazon.com/AmazonCloudWatch/latest/events/CWE_GettingStarted.html
https://aws.amazon.com/blogs/compute/simplifying-cross-account-access-with-amazon-eventbridge-resource-policies/</t>
  </si>
  <si>
    <t>https://github.com/prowler-cloud/prowler/blob/master/prowler/providers/aws/services/eventbridge/eventbridge_bus_exposed/eventbridge_bus_exposed.py</t>
  </si>
  <si>
    <t>P-033</t>
  </si>
  <si>
    <t>3.1.1</t>
  </si>
  <si>
    <t>Ensure S3 Bucket Policy is set to deny HTTP requests</t>
  </si>
  <si>
    <t>3 Storage</t>
  </si>
  <si>
    <t>s3_bucket_secure_transport_policy</t>
  </si>
  <si>
    <t>S3 bucket policy denies requests over insecure transport</t>
  </si>
  <si>
    <t>HTTP access exposes object data and auth details to eavesdropping and man-in-the-middle attacks. Captured pre-signed URLs can be replayed to exfiltrate data. Traffic can be intercepted or altered, undermining confidentiality and integrity of S3 content.</t>
  </si>
  <si>
    <t>S3 Bucket {bucket.name} does not have a bucket policy, thus it allows HTTP requests.</t>
  </si>
  <si>
    <t>S3 Bucket {bucket.name} has a bucket policy to deny requests over insecure transport.</t>
  </si>
  <si>
    <t># Deny non-SSL (HTTP) requests to the S3 bucket
resource "aws_s3_bucket_policy" "policy" {
  bucket = "&lt;example_resource_name&gt;"
  policy = jsonencode({
    Version   = "2012-10-17"
    Statement = [{
      Effect    = "Deny"
      Principal = ""
      Action    = "s3:"
      Resource  = "arn:aws:s3:::&lt;example_resource_name&gt;/"
      Condition = {
        Bool = {
          "aws:SecureTransport" = "false" # Critical: deny requests not using SSL/TLS
        }
      }
    }]
  })
}</t>
  </si>
  <si>
    <t>aws s3api put-bucket-policy --bucket &lt;example_resource_name&gt; --policy '{"Version":"2012-10-17","Statement":[{"Effect":"Deny","Principal":"","Action":"s3:","Resource":"arn:aws:s3:::&lt;example_resource_name&gt;/","Condition":{"Bool":{"aws:SecureTransport":"false"}}}]}'</t>
  </si>
  <si>
    <t>https://aws.amazon.com/premiumsupport/knowledge-center/s3-bucket-policy-for-config-rule/</t>
  </si>
  <si>
    <t>https://github.com/prowler-cloud/prowler/blob/master/prowler/providers/aws/services/s3/s3_bucket_secure_transport_policy/s3_bucket_secure_transport_policy.py</t>
  </si>
  <si>
    <t>P-034</t>
  </si>
  <si>
    <t>3.1.2</t>
  </si>
  <si>
    <t>Ensure MFA Delete is enabled on S3 buckets</t>
  </si>
  <si>
    <t>s3_bucket_no_mfa_delete</t>
  </si>
  <si>
    <t>S3 bucket has MFA Delete enabled</t>
  </si>
  <si>
    <t>Without MFA Delete, a compromised or over-privileged identity can irrevocably purge object history or change versioning.
This erases recovery points, degrading data availability, weakening integrity, and increasing the blast radius of account compromise or ransomware.</t>
  </si>
  <si>
    <t>S3 Bucket {bucket.name} has MFA Delete disabled.</t>
  </si>
  <si>
    <t>S3 Bucket {bucket.name} has MFA Delete enabled.</t>
  </si>
  <si>
    <t>aws s3api put-bucket-versioning --bucket &lt;BUCKET_NAME&gt; --versioning-configuration Status=Enabled,MFADelete=Enabled --mfa "&lt;MFA_SERIAL_OR_ARN&gt; &lt;MFA_CODE&gt;"</t>
  </si>
  <si>
    <t>https://docs.aws.amazon.com/AmazonS3/latest/userguide/MultiFactorAuthenticationDelete.html
https://docs.aws.amazon.com/AmazonS3/latest/userguide/UsingMFADelete.html</t>
  </si>
  <si>
    <t>https://github.com/prowler-cloud/prowler/blob/master/prowler/providers/aws/services/s3/s3_bucket_no_mfa_delete/s3_bucket_no_mfa_delete.py</t>
  </si>
  <si>
    <t>P-035</t>
  </si>
  <si>
    <t>3.1.3</t>
  </si>
  <si>
    <t>Ensure all data in Amazon S3 has been discovered, classified, and secured when necessary</t>
  </si>
  <si>
    <t>macie_is_enabled</t>
  </si>
  <si>
    <t>Amazon Macie is enabled</t>
  </si>
  <si>
    <t>macie</t>
  </si>
  <si>
    <t>Without active Macie, sensitive data in S3 can remain unclassified and exposed. Misconfigured access and public buckets may go undetected, enabling data exfiltration and secret leakage. This degrades confidentiality and widens breach blast radius by reducing visibility into where sensitive data resides.</t>
  </si>
  <si>
    <t>Macie is currently in a SUSPENDED state.</t>
  </si>
  <si>
    <t>Macie is enabled.</t>
  </si>
  <si>
    <t># Enables Amazon Macie in this region
resource "aws_macie2_account" "main" {
  # Critical: Creating this resource enables Macie for the account in the region
}</t>
  </si>
  <si>
    <t>aws macie2 enable-macie --region &lt;REGION&gt;</t>
  </si>
  <si>
    <t>https://aws.amazon.com/macie/getting-started/</t>
  </si>
  <si>
    <t>https://github.com/prowler-cloud/prowler/blob/master/prowler/providers/aws/services/macie/macie_is_enabled/macie_is_enabled.py</t>
  </si>
  <si>
    <t>P-036</t>
  </si>
  <si>
    <t>3.1.4</t>
  </si>
  <si>
    <t>Ensure that S3 is configured with 'Block Public Access' enabled</t>
  </si>
  <si>
    <t>s3_bucket_level_public_access_block</t>
  </si>
  <si>
    <t>S3 bucket has Block Public Access with IgnorePublicAcls and RestrictPublicBuckets enabled at bucket or account level</t>
  </si>
  <si>
    <t>Absent S3 Block Public Access, public ACLs or broad policies can grant Internet or cross-account access.
- Data disclosure (confidentiality)
- Object overwrite or uploads (integrity)
- Deletion or outages from misuse (availability)</t>
  </si>
  <si>
    <t>Block Public Access is not configured for the S3 Bucket {bucket.name}.</t>
  </si>
  <si>
    <t>Block Public Access is configured for the S3 Bucket {bucket.name}.</t>
  </si>
  <si>
    <t># Enable required S3 Block Public Access settings on a bucket
resource "aws_s3_bucket_public_access_block" "&lt;example_resource_name&gt;" {
  bucket                   = "&lt;example_resource_id&gt;"
  ignore_public_acls       = true  # CRITICAL: Ignore public ACLs
  restrict_public_buckets  = true  # CRITICAL: Restrict public buckets
}</t>
  </si>
  <si>
    <t>aws s3api put-public-access-block --bucket &lt;BUCKET_NAME&gt; --public-access-block-configuration IgnorePublicAcls=true,RestrictPublicBuckets=true</t>
  </si>
  <si>
    <t>https://docs.aws.amazon.com/AmazonS3/latest/userguide/access-control-block-public-access.html</t>
  </si>
  <si>
    <t>https://github.com/prowler-cloud/prowler/blob/master/prowler/providers/aws/services/s3/s3_bucket_level_public_access_block/s3_bucket_level_public_access_block.py</t>
  </si>
  <si>
    <t>P-037</t>
  </si>
  <si>
    <t>s3_account_level_public_access_blocks</t>
  </si>
  <si>
    <t>S3 account-level Block Public Access ignores public ACLs and restricts public buckets</t>
  </si>
  <si>
    <t>AwsS3AccountPublicAccessBlock</t>
  </si>
  <si>
    <t>Absent these settings, public ACLs and broad bucket policies may grant internet or cross-account access. This risks:
- Confidentiality: bulk data exfiltration
- Integrity: object overwrite/tampering
- Availability: malicious deletions or malware hosting, triggering takedowns</t>
  </si>
  <si>
    <t>Block Public Access is not configured for the account {s3control_client.audited_account}.</t>
  </si>
  <si>
    <t>Block Public Access is configured for the account {s3control_client.audited_account}.</t>
  </si>
  <si>
    <t># Terraform: Enable required S3 Account-level Block Public Access settings
resource "aws_s3_account_public_access_block" "&lt;example_resource_name&gt;" {
  ignore_public_acls     = true  # Critical: Ignores any public ACLs account-wide
  restrict_public_buckets = true # Critical: Restricts buckets with public policies to same-account principals
}</t>
  </si>
  <si>
    <t>aws s3control put-public-access-block --account-id &lt;account_id&gt; --public-access-block-configuration IgnorePublicAcls=true,RestrictPublicBuckets=true</t>
  </si>
  <si>
    <t>https://github.com/prowler-cloud/prowler/blob/master/prowler/providers/aws/services/s3/s3_account_level_public_access_blocks/s3_account_level_public_access_blocks.py</t>
  </si>
  <si>
    <t>P-038</t>
  </si>
  <si>
    <t>3.2.1</t>
  </si>
  <si>
    <t>Ensure that encryption-at-rest is enabled for RDS instances</t>
  </si>
  <si>
    <t>rds_instance_storage_encrypted</t>
  </si>
  <si>
    <t>RDS DB instance storage is encrypted at rest</t>
  </si>
  <si>
    <t>rds</t>
  </si>
  <si>
    <t>AwsRdsDbInstance</t>
  </si>
  <si>
    <t>database</t>
  </si>
  <si>
    <t>Without encryption at rest, database files, snapshots, and automated backups remain in plaintext. An attacker with access to copied snapshots, compromised backups, or underlying storage can read sensitive data, causing loss of confidentiality and enabling large-scale exfiltration.</t>
  </si>
  <si>
    <t>RDS Instance {db_instance.id} is not encrypted.</t>
  </si>
  <si>
    <t>RDS Instance {db_instance.id} is encrypted.</t>
  </si>
  <si>
    <t># Terraform: create an encrypted RDS DB instance
resource "aws_db_instance" "&lt;example_resource_name&gt;" {
  engine            = "&lt;engine&gt;"
  instance_class    = "&lt;instance_class&gt;"
  username          = "&lt;username&gt;"
  password          = "&lt;password&gt;"
  allocated_storage = 20
  storage_encrypted = true  # CRITICAL: enables encryption at rest to pass the check
}</t>
  </si>
  <si>
    <t>https://aws.amazon.com/blogs/storage/protecting-amazon-rds-db-instances-encrypted-using-kms-aws-managed-key-with-cross-account-and-cross-region-backups/
https://docs.aws.amazon.com/AmazonRDS/latest/UserGuide/Overview.Encryption.html</t>
  </si>
  <si>
    <t>https://github.com/prowler-cloud/prowler/blob/master/prowler/providers/aws/services/rds/rds_instance_storage_encrypted/rds_instance_storage_encrypted.py</t>
  </si>
  <si>
    <t>P-039</t>
  </si>
  <si>
    <t>3.2.2</t>
  </si>
  <si>
    <t>Ensure the Auto Minor Version Upgrade feature is enabled for RDS instances</t>
  </si>
  <si>
    <t>rds_instance_minor_version_upgrade_enabled</t>
  </si>
  <si>
    <t>RDS instance has minor version upgrade enabled</t>
  </si>
  <si>
    <t>Without automatic minor upgrades, databases miss security patches, leaving known vulnerabilities exploitable and risking unauthorized data access. Unapplied fixes can cause data corruption and outages, harming integrity and availability.</t>
  </si>
  <si>
    <t>RDS Instance {db_instance.id} does not have minor version upgrade enabled.</t>
  </si>
  <si>
    <t>RDS Instance {db_instance.id} has minor version upgrade enabled.</t>
  </si>
  <si>
    <t># Enable auto minor version upgrades on an RDS instance
resource "aws_db_instance" "&lt;example_resource_name&gt;" {
  allocated_storage          = 20
  engine                     = "mysql"
  instance_class             = "db.t3.micro"
  username                   = "&lt;username&gt;"
  password                   = "&lt;password&gt;"
  auto_minor_version_upgrade = true  # Critical: turns on automatic minor engine upgrades
}</t>
  </si>
  <si>
    <t>aws rds modify-db-instance --db-instance-identifier &lt;db_instance_id&gt; --auto-minor-version-upgrade --apply-immediately</t>
  </si>
  <si>
    <t>https://aws.amazon.com/blogs/database/best-practices-for-upgrading-amazon-rds-to-major-and-minor-versions-of-postgresql/</t>
  </si>
  <si>
    <t>https://github.com/prowler-cloud/prowler/blob/master/prowler/providers/aws/services/rds/rds_instance_minor_version_upgrade_enabled/rds_instance_minor_version_upgrade_enabled.py</t>
  </si>
  <si>
    <t>P-040</t>
  </si>
  <si>
    <t>3.2.3</t>
  </si>
  <si>
    <t>Ensure that RDS instances are not publicly accessible</t>
  </si>
  <si>
    <t>rds_instance_no_public_access</t>
  </si>
  <si>
    <t>RDS instance is not publicly exposed to the Internet</t>
  </si>
  <si>
    <t>An internet-reachable database invites:
- Brute-force and vulnerability probing, risking availability and integrity
- Unauthorized queries and dumps leading to confidentiality loss
Compromise can enable lateral movement and persistence within the VPC.</t>
  </si>
  <si>
    <t>RDS Instance {db_instance.id} is set as publicly accessible and security group {security_group.name} ({security_group.id}) has {db_instance.engine} port {db_instance_port} open to the Internet at endpoint {db_instance.endpoint.get('Address')} in a public subnet {subnet_id}.</t>
  </si>
  <si>
    <t>RDS Instance {db_instance.id} is not publicly accessible.</t>
  </si>
  <si>
    <t># Ensure the RDS instance is not publicly accessible
resource "aws_db_instance" "&lt;example_resource_name&gt;" {
  publicly_accessible = false  # CRITICAL: disables public access (no public endpoint)
}</t>
  </si>
  <si>
    <t>aws rds modify-db-instance --db-instance-identifier &lt;db_instance_id&gt; --no-publicly-accessible --apply-immediately</t>
  </si>
  <si>
    <t>https://docs.aws.amazon.com/config/latest/developerguide/rds-instance-public-access-check.html
https://docs.aws.amazon.com/securityhub/latest/userguide/rds-controls.html</t>
  </si>
  <si>
    <t>https://github.com/prowler-cloud/prowler/blob/master/prowler/providers/aws/services/rds/rds_instance_no_public_access/rds_instance_no_public_access.py</t>
  </si>
  <si>
    <t>P-041</t>
  </si>
  <si>
    <t>3.2.4</t>
  </si>
  <si>
    <t>Ensure Multi-AZ deployments are used for enhanced availability in Amazon RDS</t>
  </si>
  <si>
    <t>rds_cluster_multi_az</t>
  </si>
  <si>
    <t>RDS cluster has Multi-AZ enabled</t>
  </si>
  <si>
    <t>AwsRdsDbCluster</t>
  </si>
  <si>
    <t>A single-AZ cluster is a single point of failure. AZ outages, instance/storage faults, or maintenance can cause extended downtime, failed transactions, and worse RTO/RPO. Without cross-AZ replicas, recovery may require restores, increasing outage duration and risking service disruption and data consistency impacts.</t>
  </si>
  <si>
    <t>RDS Cluster {db_cluster.id} does not have multi-AZ enabled.</t>
  </si>
  <si>
    <t>RDS Cluster {db_cluster.id} has multi-AZ enabled.</t>
  </si>
  <si>
    <t># Terraform: create an RDS Multi-AZ DB cluster (non-Aurora)
resource "aws_rds_cluster" "&lt;example_resource_name&gt;" {
  cluster_identifier         = "&lt;example_resource_id&gt;"
  engine                     = "mysql"           # CRITICAL: mysql/postgres with the lines below creates a Multi-AZ DB cluster
  db_cluster_instance_class  = "db.r6g.large"    # CRITICAL: makes this a Multi-AZ DB cluster (1 writer + 2 readers across AZs)
  storage_type               = "io1"             # CRITICAL: required for Multi-AZ DB clusters
  allocated_storage          = 100                # CRITICAL: required for Multi-AZ DB clusters
  iops                       = 1000               # CRITICAL: required for Multi-AZ DB clusters
  master_username            = "&lt;USERNAME&gt;"
  master_password            = "&lt;PASSWORD&gt;"
}</t>
  </si>
  <si>
    <t>https://docs.aws.amazon.com/securityhub/latest/userguide/rds-controls.html#rds-15
https://aws.amazon.com/rds/features/multi-az/</t>
  </si>
  <si>
    <t>https://github.com/prowler-cloud/prowler/blob/master/prowler/providers/aws/services/rds/rds_cluster_multi_az/rds_cluster_multi_az.py</t>
  </si>
  <si>
    <t>P-042</t>
  </si>
  <si>
    <t>rds_instance_multi_az</t>
  </si>
  <si>
    <t>RDS instance has Multi-AZ enabled</t>
  </si>
  <si>
    <t>Without Multi-AZ, an Availability Zone or instance failure can cause extended downtime and rely on restores, risking loss of recent writes. This degrades availability and may affect integrity, interrupting applications and breaching SLAs.</t>
  </si>
  <si>
    <t>RDS Instance {db_instance.id} does not have multi-AZ enabled at cluster {db_instance.cluster_id} level.</t>
  </si>
  <si>
    <t>RDS Instance {db_instance.id} has multi-AZ enabled at cluster {db_instance.cluster_id} level.</t>
  </si>
  <si>
    <t># Enable Multi-AZ on an RDS DB instance
resource "aws_db_instance" "example" {
  multi_az = true  # Critical: enables Multi-AZ to pass the check
}</t>
  </si>
  <si>
    <t>aws rds modify-db-instance --db-instance-identifier &lt;db_instance_id&gt; --multi-az --apply-immediately</t>
  </si>
  <si>
    <t>https://aws.amazon.com/rds/features/multi-az/</t>
  </si>
  <si>
    <t>https://github.com/prowler-cloud/prowler/blob/master/prowler/providers/aws/services/rds/rds_instance_multi_az/rds_instance_multi_az.py</t>
  </si>
  <si>
    <t>P-043</t>
  </si>
  <si>
    <t>3.3.1</t>
  </si>
  <si>
    <t>Ensure that encryption is enabled for EFS file systems</t>
  </si>
  <si>
    <t>efs_encryption_at_rest_enabled</t>
  </si>
  <si>
    <t>EFS file system has encryption at rest enabled</t>
  </si>
  <si>
    <t>efs</t>
  </si>
  <si>
    <t>AwsEfsFileSystem</t>
  </si>
  <si>
    <t>Without encryption at rest, EFS contents can be read from storage media, backups, or compromised hosts, eroding confidentiality and enabling offline exfiltration. Privileged compromise also allows covert data harvesting or manipulation, threatening integrity of files.</t>
  </si>
  <si>
    <t>EFS {fs.id} does not have encryption at rest enabled.</t>
  </si>
  <si>
    <t>EFS {fs.id} has encryption at rest enabled.</t>
  </si>
  <si>
    <t># Terraform: Create an EFS file system with encryption at rest enabled
resource "aws_efs_file_system" "&lt;example_resource_name&gt;" {
  encrypted = true  # Critical: enables encryption at rest so the check passes
}</t>
  </si>
  <si>
    <t>https://docs.aws.amazon.com/efs/latest/ug/EFSKMS.html
https://docs.aws.amazon.com/efs/latest/ug/encryption-at-rest.html</t>
  </si>
  <si>
    <t>https://github.com/prowler-cloud/prowler/blob/master/prowler/providers/aws/services/efs/efs_encryption_at_rest_enabled/efs_encryption_at_rest_enabled.py</t>
  </si>
  <si>
    <t>P-044</t>
  </si>
  <si>
    <t>4.1</t>
  </si>
  <si>
    <t>Ensure CloudTrail is enabled in all regions</t>
  </si>
  <si>
    <t>4 Logging</t>
  </si>
  <si>
    <t>cloudtrail_multi_region_enabled</t>
  </si>
  <si>
    <t>Region has at least one CloudTrail trail logging</t>
  </si>
  <si>
    <t>cloudtrail</t>
  </si>
  <si>
    <t>AwsCloudTrailTrail</t>
  </si>
  <si>
    <t>monitoring</t>
  </si>
  <si>
    <t>Missing coverage in any region creates visibility gaps.
Attackers can use lesser-monitored regions to run API actions, hide unauthorized changes, and exfiltrate data without audit trails, weakening detective controls, hindering forensics, and delaying response (confidentiality and integrity).</t>
  </si>
  <si>
    <t>No CloudTrail trails enabled with logging were found.</t>
  </si>
  <si>
    <t>Trail {trail.name} is multiregion and it is logging.</t>
  </si>
  <si>
    <t># Terraform: Multi-region CloudTrail with logging enabled
resource "aws_cloudtrail" "&lt;example_resource_name&gt;" {
  name           = "&lt;example_resource_name&gt;"
  s3_bucket_name = "&lt;example_resource_name&gt;"
  is_multi_region_trail = true  # Critical: applies the trail to all regions
  enable_logging        = true  # Critical: ensures the trail is logging
}</t>
  </si>
  <si>
    <t>https://docs.aws.amazon.com/awscloudtrail/latest/userguide/cloudtrailconcepts.html#cloudtrail-concepts-management-events</t>
  </si>
  <si>
    <t>https://github.com/prowler-cloud/prowler/blob/master/prowler/providers/aws/services/cloudtrail/cloudtrail_multi_region_enabled/cloudtrail_multi_region_enabled.py</t>
  </si>
  <si>
    <t>P-045</t>
  </si>
  <si>
    <t>4.2</t>
  </si>
  <si>
    <t>Ensure CloudTrail log file validation is enabled</t>
  </si>
  <si>
    <t>cloudtrail_log_file_validation_enabled</t>
  </si>
  <si>
    <t>CloudTrail trail has log file validation enabled</t>
  </si>
  <si>
    <t>Without validation, adversaries can alter, forge, or delete audit entries without detection, compromising log integrity and non-repudiation.
This impairs investigations, enables alert evasion, and obscures unauthorized changes across regions or accounts.</t>
  </si>
  <si>
    <t>Multiregion trail {trail.name} has log file validation disabled.</t>
  </si>
  <si>
    <t>Multiregion trail {trail.name} has log file validation enabled.</t>
  </si>
  <si>
    <t># Enable log file validation on a CloudTrail trail
resource "aws_cloudtrail" "&lt;example_resource_name&gt;" {
  name               = "&lt;example_resource_name&gt;"
  s3_bucket_name     = "&lt;example_resource_name&gt;"
  enable_log_file_validation = true  # Critical: ensures CloudTrail writes signed digests to detect tampering
}</t>
  </si>
  <si>
    <t>aws cloudtrail update-trail --name &lt;trail_name&gt; --enable-log-file-validation</t>
  </si>
  <si>
    <t>https://docs.aws.amazon.com/awscloudtrail/latest/userguide/cloudtrail-log-file-validation-intro.html
https://docs.aws.amazon.com/awscloudtrail/latest/userguide/cloudtrail-log-file-validation-enabling.html</t>
  </si>
  <si>
    <t>https://github.com/prowler-cloud/prowler/blob/master/prowler/providers/aws/services/cloudtrail/cloudtrail_log_file_validation_enabled/cloudtrail_log_file_validation_enabled.py</t>
  </si>
  <si>
    <t>P-046</t>
  </si>
  <si>
    <t>4.3</t>
  </si>
  <si>
    <t>Ensure AWS Config is enabled in all regions</t>
  </si>
  <si>
    <t>config_recorder_all_regions_enabled</t>
  </si>
  <si>
    <t>AWS Config recorder is enabled and not in failure state or disabled</t>
  </si>
  <si>
    <t>config</t>
  </si>
  <si>
    <t>Gaps in Config recording create blind spots. Changes in unmonitored Regions aren't captured, weakening integrity and auditability. Adversaries can alter resources or stage assets unnoticed, enabling misconfigurations and delaying incident response.</t>
  </si>
  <si>
    <t>No AWS Config recorders in region.</t>
  </si>
  <si>
    <t>AWS Config recorder {recorder.name} is enabled.</t>
  </si>
  <si>
    <t>resource "aws_iam_service_linked_role" "example_resource" {
  aws_service_name = "config.amazonaws.com"
}
resource "aws_config_configuration_recorder" "example_resource" {
  name     = "example_resource"
  role_arn = aws_iam_service_linked_role.example_resource.arn
}
resource "aws_config_delivery_channel" "example_resource" {
  s3_bucket_name = "example_resource"
}
resource "aws_config_configuration_recorder_status" "example_resource" {
  name         = aws_config_configuration_recorder.example_resource.name
  is_recording = true  # This line fixes the security issue
  depends_on   = [aws_config_delivery_channel.example_resource]
}</t>
  </si>
  <si>
    <t>https://aws.amazon.com/blogs/mt/aws-config-best-practices/</t>
  </si>
  <si>
    <t>https://github.com/prowler-cloud/prowler/blob/master/prowler/providers/aws/services/config/config_recorder_all_regions_enabled/config_recorder_all_regions_enabled.py</t>
  </si>
  <si>
    <t>P-047</t>
  </si>
  <si>
    <t>4.4</t>
  </si>
  <si>
    <t>Ensure that server access logging is enabled on the CloudTrail S3 bucket</t>
  </si>
  <si>
    <t>cloudtrail_logs_s3_bucket_access_logging_enabled</t>
  </si>
  <si>
    <t>CloudTrail trail destination S3 bucket has access logging enabled</t>
  </si>
  <si>
    <t>Without access logging on the CloudTrail logs bucket, access and changes to log files lack an independent audit trail. Attackers could read, delete, or replace logs without attribution, undermining log confidentiality and integrity, and slowing incident response.</t>
  </si>
  <si>
    <t>Multiregion Trail {trail.name} S3 bucket access logging is not enabled for bucket {trail_bucket}.</t>
  </si>
  <si>
    <t>Multiregion Trail {trail.name} S3 bucket access logging is enabled for bucket {trail_bucket}.</t>
  </si>
  <si>
    <t># Enable access logging on the CloudTrail S3 bucket
resource "aws_s3_bucket" "&lt;example_log_bucket_name&gt;" {
  bucket = "&lt;example_log_bucket_name&gt;"
}
resource "aws_s3_bucket" "&lt;example_bucket_name&gt;" {
  bucket = "&lt;example_bucket_name&gt;"
}
resource "aws_s3_bucket_logging" "&lt;example_resource_name&gt;" {
  bucket        = aws_s3_bucket.&lt;example_bucket_name&gt;.id
  target_bucket = aws_s3_bucket.&lt;example_log_bucket_name&gt;.id  # Critical: enables server access logging to the target bucket
}</t>
  </si>
  <si>
    <t>aws s3api put-bucket-logging --bucket &lt;CLOUDTRAIL_BUCKET_NAME&gt; --bucket-logging-status "{\"LoggingEnabled\":{\"TargetBucket\":\"&lt;TARGET_BUCKET_NAME&gt;\"}}"</t>
  </si>
  <si>
    <t>https://docs.aws.amazon.com/securityhub/latest/userguide/cloudtrail-controls.html
https://docs.aws.amazon.com/AmazonS3/latest/dev/security-best-practices.html</t>
  </si>
  <si>
    <t>https://github.com/prowler-cloud/prowler/blob/master/prowler/providers/aws/services/cloudtrail/cloudtrail_logs_s3_bucket_access_logging_enabled/cloudtrail_logs_s3_bucket_access_logging_enabled.py</t>
  </si>
  <si>
    <t>P-048</t>
  </si>
  <si>
    <t>4.5</t>
  </si>
  <si>
    <t>Ensure CloudTrail logs are encrypted at rest using KMS CMKs</t>
  </si>
  <si>
    <t>cloudtrail_kms_encryption_enabled</t>
  </si>
  <si>
    <t>CloudTrail trail logs are encrypted at rest with a KMS key</t>
  </si>
  <si>
    <t>Absent a customer-managed KMS key, log protection relies only on storage permissions. Bucket misconfigurations or stolen credentials can expose audit data, aiding evasion and lateral movement. Missing key-level controls, rotation, and usage audit weaken confidentiality and forensic integrity.</t>
  </si>
  <si>
    <t>Multiregion trail {trail.name} has encryption disabled.</t>
  </si>
  <si>
    <t>Multiregion trail {trail.name} has encryption enabled.</t>
  </si>
  <si>
    <t># Enable KMS encryption for CloudTrail
resource "aws_cloudtrail" "&lt;example_resource_name&gt;" {
  name           = "&lt;example_resource_name&gt;"
  s3_bucket_name = "&lt;example_resource_name&gt;"
  kms_key_id     = "&lt;example_resource_id&gt;" # Critical: uses this KMS key to encrypt CloudTrail logs
}</t>
  </si>
  <si>
    <t>aws cloudtrail update-trail --name &lt;trail_name&gt; --kms-key-id &lt;kms_key_arn_or_id&gt;</t>
  </si>
  <si>
    <t>https://docs.aws.amazon.com/awscloudtrail/latest/userguide/encrypting-cloudtrail-log-files-with-aws-kms.html</t>
  </si>
  <si>
    <t>https://github.com/prowler-cloud/prowler/blob/master/prowler/providers/aws/services/cloudtrail/cloudtrail_kms_encryption_enabled/cloudtrail_kms_encryption_enabled.py</t>
  </si>
  <si>
    <t>P-049</t>
  </si>
  <si>
    <t>4.6</t>
  </si>
  <si>
    <t>Ensure rotation for customer-created symmetric CMKs is enabled</t>
  </si>
  <si>
    <t>kms_cmk_rotation_enabled</t>
  </si>
  <si>
    <t>KMS customer-managed symmetric CMK has automatic rotation enabled</t>
  </si>
  <si>
    <t>Without automatic rotation, long-lived key material increases confidentiality and integrity risk. If a KMS key is exposed, attackers can unwrap data keys and decrypt stored data until the key changes. It also reduces crypto agility and may conflict with mandated rotation policies.</t>
  </si>
  <si>
    <t>KMS CMK {key.id} has automatic rotation disabled.</t>
  </si>
  <si>
    <t>KMS CMK {key.id} has automatic rotation enabled.</t>
  </si>
  <si>
    <t># KMS key with automatic rotation enabled
resource "aws_kms_key" "&lt;example_resource_name&gt;" {
  enable_key_rotation = true  # Critical: enables automatic rotation so the key passes the check
}</t>
  </si>
  <si>
    <t>aws kms enable-key-rotation --key-id &lt;KEY_ID&gt;</t>
  </si>
  <si>
    <t>https://docs.aws.amazon.com/kms/latest/developerguide/rotate-keys.html
https://aws.amazon.com/blogs/security/how-to-get-ready-for-certificate-transparency/</t>
  </si>
  <si>
    <t>https://github.com/prowler-cloud/prowler/blob/master/prowler/providers/aws/services/kms/kms_cmk_rotation_enabled/kms_cmk_rotation_enabled.py</t>
  </si>
  <si>
    <t>P-050</t>
  </si>
  <si>
    <t>4.7</t>
  </si>
  <si>
    <t>Ensure VPC flow logging is enabled in all VPCs</t>
  </si>
  <si>
    <t>vpc_flow_logs_enabled</t>
  </si>
  <si>
    <t>VPC flow logs are enabled</t>
  </si>
  <si>
    <t>vpc</t>
  </si>
  <si>
    <t>AwsEc2Vpc</t>
  </si>
  <si>
    <t>network</t>
  </si>
  <si>
    <t>Without flow logs, network activity is opaque, hindering detection and investigation of malicious traffic. Attackers can probe, exfiltrate, or move laterally unnoticed, impacting confidentiality and integrity; outages and misconfigurations are harder to diagnose, reducing availability.</t>
  </si>
  <si>
    <t>VPC {vpc.name if vpc.name else vpc.id} Flow logs are disabled.</t>
  </si>
  <si>
    <t>VPC {vpc.name if vpc.name else vpc.id} Flow logs are enabled.</t>
  </si>
  <si>
    <t># Enable VPC Flow Logs to S3 for an existing VPC
resource "aws_flow_log" "vpc" {
  vpc_id               = "&lt;example_resource_id&gt;"                 # Critical: target the VPC to enable flow logs
  traffic_type         = "ALL"                                   # Critical: log all traffic
  log_destination_type = "s3"                                    # Critical: send logs to S3 (no IAM role needed)
  log_destination      = "arn:aws:s3:::&lt;example_resource_name&gt;"  # Critical: S3 bucket ARN
}</t>
  </si>
  <si>
    <t>aws ec2 create-flow-logs --resource-type VPC --resource-ids &lt;VPC_ID&gt; --traffic-type ALL --log-destination-type s3 --log-destination arn:aws:s3:::&lt;S3_BUCKET_NAME&gt;</t>
  </si>
  <si>
    <t>http://docs.aws.amazon.com/AmazonVPC/latest/UserGuide/flow-logs.html</t>
  </si>
  <si>
    <t>https://github.com/prowler-cloud/prowler/blob/master/prowler/providers/aws/services/vpc/vpc_flow_logs_enabled/vpc_flow_logs_enabled.py</t>
  </si>
  <si>
    <t>P-051</t>
  </si>
  <si>
    <t>4.8</t>
  </si>
  <si>
    <t>Ensure that object-level logging for write events is enabled for S3 buckets</t>
  </si>
  <si>
    <t>cloudtrail_s3_dataevents_write_enabled</t>
  </si>
  <si>
    <t>CloudTrail trail records all S3 object-level API operations for all buckets</t>
  </si>
  <si>
    <t>Without object-level write logging, unauthorized or accidental changes and deletions can go unobserved, undermining data integrity and availability. Forensics lose visibility into who modified or removed objects, hindering detection of ransomware, rogue automation, or insider tampering.</t>
  </si>
  <si>
    <t>No CloudTrail trails have a data event to record all S3 object-level API operations.</t>
  </si>
  <si>
    <t>Trail {trail.name} from home region {trail.home_region} has a classic data event selector to record all S3 object-level API operations.</t>
  </si>
  <si>
    <t>resource "aws_cloudtrail" "&lt;example_resource_name&gt;" {
  name           = "&lt;example_resource_name&gt;"
  s3_bucket_name = "&lt;example_resource_name&gt;"
  event_selector {
    read_write_type = "WriteOnly"
    data_resource {
      type   = "AWS::S3::Object"
      values = ["arn:aws:s3"]  # Critical: logs S3 object-level write events for all buckets to pass the check
    }
  }
}</t>
  </si>
  <si>
    <t>aws cloudtrail put-event-selectors --trail-name &lt;example_resource_name&gt; --event-selectors '[{"ReadWriteType":"WriteOnly","DataResources":[{"Type":"AWS::S3::Object","Values":["arn:aws:s3"]}]}]'</t>
  </si>
  <si>
    <t>https://docs.aws.amazon.com/awscloudtrail/latest/userguide/logging-data-events-with-cloudtrail.html
https://docs.aws.amazon.com/AmazonS3/latest/userguide/enable-cloudtrail-logging-for-s3.html
https://docs.aws.amazon.com/securityhub/latest/userguide/s3-controls.html#s3-22</t>
  </si>
  <si>
    <t>https://github.com/prowler-cloud/prowler/blob/master/prowler/providers/aws/services/cloudtrail/cloudtrail_s3_dataevents_write_enabled/cloudtrail_s3_dataevents_write_enabled.py</t>
  </si>
  <si>
    <t>P-052</t>
  </si>
  <si>
    <t>4.9</t>
  </si>
  <si>
    <t>Ensure that object-level logging for read events is enabled for S3 buckets</t>
  </si>
  <si>
    <t>cloudtrail_s3_dataevents_read_enabled</t>
  </si>
  <si>
    <t>CloudTrail trail records S3 object-level read events for all S3 buckets</t>
  </si>
  <si>
    <t>Without object-level read logging, S3 access is opaque. Attackers or insiders can exfiltrate data via GetObject without audit trails, eroding confidentiality and hindering forensics, anomaly detection, and incident response.</t>
  </si>
  <si>
    <t># Terraform: enable S3 object-level READ data events for all buckets on a trail
resource "aws_cloudtrail" "&lt;example_resource_name&gt;" {
  name           = "&lt;example_resource_name&gt;"
  s3_bucket_name = "&lt;example_resource_name&gt;"
  event_selector {
    read_write_type = "ReadOnly"                 # CRITICAL: log read-only data events
    data_resource {
      type   = "AWS::S3::Object"                 # CRITICAL: target S3 object-level events
      values = ["arn:aws:s3"]                    # CRITICAL: apply to all S3 buckets/objects
    }
  }
}</t>
  </si>
  <si>
    <t>aws cloudtrail put-event-selectors --trail-name &lt;example_resource_name&gt; --event-selectors '[{"ReadWriteType":"ReadOnly","DataResources":[{"Type":"AWS::S3::Object","Values":["arn:aws:s3"]}]}]'</t>
  </si>
  <si>
    <t>https://docs.aws.amazon.com/securityhub/latest/userguide/s3-controls.html#s3-23
https://docs.aws.amazon.com/AmazonS3/latest/userguide/enable-cloudtrail-logging-for-s3.html</t>
  </si>
  <si>
    <t>https://github.com/prowler-cloud/prowler/blob/master/prowler/providers/aws/services/cloudtrail/cloudtrail_s3_dataevents_read_enabled/cloudtrail_s3_dataevents_read_enabled.py</t>
  </si>
  <si>
    <t>P-053</t>
  </si>
  <si>
    <t>4.10</t>
  </si>
  <si>
    <t>Ensure all AWS-managed web front-end services have access logging enabled</t>
  </si>
  <si>
    <t>cloudfront_distributions_logging_enabled</t>
  </si>
  <si>
    <t>CloudFront distribution has logging enabled</t>
  </si>
  <si>
    <t>cloudfront</t>
  </si>
  <si>
    <t>AwsCloudFrontDistribution</t>
  </si>
  <si>
    <t>Missing CloudFront logs blinds monitoring of edge requests, impeding detection of bot abuse, credential stuffing, and cache-bypass attempts.
This delays incident response and weakens forensic evidence. A delivery source without an active delivery does not count as enabled.</t>
  </si>
  <si>
    <t>CloudFront Distribution {distribution.id} has logging disabled.</t>
  </si>
  <si>
    <t>CloudFront Distribution {distribution.id} has logging enabled via {', '.join(methods)}.</t>
  </si>
  <si>
    <t># Add this block to your existing CloudFront distribution to enable access logging
resource "aws_cloudfront_distribution" "&lt;example_resource_name&gt;" {
  # ... existing required config ...
  logging_config {
    bucket = "&lt;example_bucket&gt;.s3.amazonaws.com"  # CRITICAL: enables standard access logs to S3
  }
}</t>
  </si>
  <si>
    <t>aws cloudfront get-distribution-config --id &lt;DISTRIBUTION_ID&gt; --output json &gt; current-config.json &amp;&amp; echo 'Manually edit current-config.json to add Logging.Bucket: &lt;example_bucket&gt;.s3.amazonaws.com', then run:' &amp;&amp; echo 'aws cloudfront update-distribution --id &lt;DISTRIBUTION_ID&gt; --distribution-config file://current-config.json --if-match $(aws cloudfront get-distribution-config --id &lt;DISTRIBUTION_ID&gt; --query "ETag" --output text)'</t>
  </si>
  <si>
    <t>https://docs.aws.amazon.com/AmazonCloudFront/latest/DeveloperGuide/AccessLogs.html
https://aws.amazon.com/awstv/watch/e895e7811ac/
https://docs.aws.amazon.com/AmazonCloudFront/latest/DeveloperGuide/real-time-logs.html</t>
  </si>
  <si>
    <t>https://github.com/prowler-cloud/prowler/blob/master/prowler/providers/aws/services/cloudfront/cloudfront_distributions_logging_enabled/cloudfront_distributions_logging_enabled.py</t>
  </si>
  <si>
    <t>P-054</t>
  </si>
  <si>
    <t>elbv2_logging_enabled</t>
  </si>
  <si>
    <t>ELBv2 Application Load Balancer has access logs to S3 configured</t>
  </si>
  <si>
    <t>elbv2</t>
  </si>
  <si>
    <t>AwsElbv2LoadBalancer</t>
  </si>
  <si>
    <t>Absent ALB access logs reduces visibility and hampers incident detection and forensics. Malicious requests, credential stuffing, or data exfiltration via the load balancer can go unnoticed, undermining confidentiality and integrity, and delaying recovery from availability incidents.</t>
  </si>
  <si>
    <t>ELBv2 ALB {lb.name} does not have access logs configured.</t>
  </si>
  <si>
    <t>ELBv2 ALB {lb.name} has access logs to S3 configured.</t>
  </si>
  <si>
    <t># Terraform: enable ALB access logs to S3
resource "aws_lb" "&lt;example_resource_name&gt;" {
  name            = "&lt;example_resource_name&gt;"
  security_groups = ["&lt;example_security_group_id&gt;"]
  subnets         = ["&lt;subnet_id_1&gt;", "&lt;subnet_id_2&gt;"]
  access_logs {
    bucket  = "&lt;example_resource_name&gt;"  # critical: destination S3 bucket for logs
    enabled = true                        # critical: enable ALB access logging
  }
}</t>
  </si>
  <si>
    <t>aws elbv2 modify-load-balancer-attributes --load-balancer-arn &lt;lb_arn&gt; --attributes Key=access_logs.s3.enabled,Value=true Key=access_logs.s3.bucket,Value=&lt;bucket_name&gt;</t>
  </si>
  <si>
    <t>https://docs.aws.amazon.com/elasticloadbalancing/latest/application/load-balancer-access-logs.html</t>
  </si>
  <si>
    <t>https://github.com/prowler-cloud/prowler/blob/master/prowler/providers/aws/services/elbv2/elbv2_logging_enabled/elbv2_logging_enabled.py</t>
  </si>
  <si>
    <t>P-055</t>
  </si>
  <si>
    <t>apigateway_restapi_logging_enabled</t>
  </si>
  <si>
    <t>API Gateway REST API stage has logging enabled</t>
  </si>
  <si>
    <t>apigateway</t>
  </si>
  <si>
    <t>AwsApiGatewayStage</t>
  </si>
  <si>
    <t>api_gateway</t>
  </si>
  <si>
    <t>Without stage logging, API activity lacks visibility, hindering detection of abuse and incident response.
Attackers can probe endpoints, exfiltrate data, or tamper integrations without traces, impacting confidentiality, integrity, and availability and blocking forensic investigation.</t>
  </si>
  <si>
    <t>API Gateway {rest_api.name} ID {rest_api.id} in stage {stage.name} has logging disabled.</t>
  </si>
  <si>
    <t>API Gateway {rest_api.name} ID {rest_api.id} in stage {stage.name} has logging enabled.</t>
  </si>
  <si>
    <t># Enable execution logging for all methods in a REST API stage
resource "aws_api_gateway_method_settings" "&lt;example_resource_name&gt;" {
  rest_api_id = "&lt;example_resource_id&gt;"
  stage_name  = "&lt;example_resource_name&gt;"
  method_path = "/"
  settings {
    logging_level = "ERROR"  # CRITICAL: enables stage execution logging
  }
}</t>
  </si>
  <si>
    <t>aws apigateway update-stage --rest-api-id &lt;REST_API_ID&gt; --stage-name &lt;STAGE_NAME&gt; --patch-operations op=replace,path='///logging/loglevel',value=ERROR</t>
  </si>
  <si>
    <t>https://docs.aws.amazon.com/apigateway/latest/developerguide/security-monitoring.html
https://docs.aws.amazon.com/apigateway/latest/developerguide/http-api-logging.html
https://docs.aws.amazon.com/apigateway/latest/developerguide/set-up-logging.html
https://docs.aws.amazon.com/apigateway/latest/developerguide/view-cloudwatch-log-events-in-cloudwatch-console.html</t>
  </si>
  <si>
    <t>https://github.com/prowler-cloud/prowler/blob/master/prowler/providers/aws/services/apigateway/apigateway_restapi_logging_enabled/apigateway_restapi_logging_enabled.py</t>
  </si>
  <si>
    <t>P-056</t>
  </si>
  <si>
    <t>apigatewayv2_api_access_logging_enabled</t>
  </si>
  <si>
    <t>API Gateway V2 API stage has access logging enabled</t>
  </si>
  <si>
    <t>apigatewayv2</t>
  </si>
  <si>
    <t>AwsApiGatewayV2Stage</t>
  </si>
  <si>
    <t>Without access logs, API calls lack traceability, making it hard to spot credential misuse, route abuse, or anomalous traffic.
This reduces confidentiality and integrity through undetected data access or manipulation, and impacts availability by slowing incident response.</t>
  </si>
  <si>
    <t>API Gateway V2 {api.name} ID {api.id} in stage {stage.name} has access logging disabled.</t>
  </si>
  <si>
    <t>API Gateway V2 {api.name} ID {api.id} in stage {stage.name} has access logging enabled.</t>
  </si>
  <si>
    <t># Terraform: Enable access logging on API Gateway V2 stage
resource "aws_apigatewayv2_stage" "&lt;example_resource_name&gt;" {
  api_id = "&lt;example_resource_id&gt;"
  name   = "&lt;example_resource_name&gt;"
  access_log_settings { # Critical: enables access logging for the stage
    destination_arn = "&lt;example_log_group_arn&gt;"
    format          = "{\"requestId\":\"$context.requestId\"}"
  }
}</t>
  </si>
  <si>
    <t>aws apigatewayv2 update-stage --api-id &lt;API_ID&gt; --stage-name &lt;STAGE_NAME&gt; --access-log-settings DestinationArn=&lt;LOG_GROUP_ARN&gt;,Format='{"requestId":"$context.requestId"}'</t>
  </si>
  <si>
    <t>https://docs.aws.amazon.com/apigateway/latest/developerguide/security-monitoring.html
https://docs.aws.amazon.com/apigateway/latest/developerguide/set-up-logging.html</t>
  </si>
  <si>
    <t>https://github.com/prowler-cloud/prowler/blob/master/prowler/providers/aws/services/apigatewayv2/apigatewayv2_api_access_logging_enabled/apigatewayv2_api_access_logging_enabled.py</t>
  </si>
  <si>
    <t>P-057</t>
  </si>
  <si>
    <t>5.1</t>
  </si>
  <si>
    <t>Ensure unauthorized API calls are monitored</t>
  </si>
  <si>
    <t>5 Monitoring</t>
  </si>
  <si>
    <t>cloudwatch_log_metric_filter_unauthorized_api_calls</t>
  </si>
  <si>
    <t>CloudWatch Logs metric filter and alarm exist for unauthorized API calls</t>
  </si>
  <si>
    <t>cloudwatch</t>
  </si>
  <si>
    <t>AwsCloudWatchAlarm</t>
  </si>
  <si>
    <t>Without alerting on unauthorized API calls, permission probing and failed access by compromised identities can go unnoticed. Attackers can enumerate services, pivot, and attempt privilege escalation, threatening data confidentiality and integrity.</t>
  </si>
  <si>
    <t>No CloudWatch log groups found with metric filters or alarms associated.</t>
  </si>
  <si>
    <t># Terraform: Metric filter and alarm for unauthorized API calls
resource "aws_cloudwatch_log_metric_filter" "unauthorized" {
  name           = "unauthorized_api_calls_metric"
  log_group_name = "&lt;example_resource_name&gt;"
  pattern        = "{($.errorCode = \"UnauthorizedOperation\") || ($.errorCode = \"AccessDenied\")}"  # Critical: detects unauthorized/denied API calls
  metric_transformation {
    name      = "unauthorized_api_calls_metric"
    namespace = "CISBenchmark"
    value     = "1"
  }
}
resource "aws_cloudwatch_metric_alarm" "unauthorized" {
  comparison_operator = "GreaterThanOrEqualToThreshold"
  evaluation_periods  = 1
  metric_name         = "unauthorized_api_calls_metric"   # Critical: alarm on the metric from the filter
  namespace           = "CISBenchmark"
  period              = 300
  statistic           = "Sum"
  threshold           = 1
}</t>
  </si>
  <si>
    <t>https://docs.aws.amazon.com/awscloudtrail/latest/userguide/cloudwatch-alarms-for-cloudtrail.html</t>
  </si>
  <si>
    <t>https://github.com/prowler-cloud/prowler/blob/master/prowler/providers/aws/services/cloudwatch/cloudwatch_log_metric_filter_unauthorized_api_calls/cloudwatch_log_metric_filter_unauthorized_api_calls.py</t>
  </si>
  <si>
    <t>P-058</t>
  </si>
  <si>
    <t>5.2</t>
  </si>
  <si>
    <t>Ensure management console sign-in without MFA is monitored</t>
  </si>
  <si>
    <t>cloudwatch_log_metric_filter_sign_in_without_mfa</t>
  </si>
  <si>
    <t>CloudWatch log metric filter and alarm exist for Management Console sign-in without MFA</t>
  </si>
  <si>
    <t>Without alerting on non-MFA console logins, successful use of stolen passwords can go undetected, enabling:
- Unauthorized console access and IAM changes
- Data exfiltration or deletion
Impacts: loss of confidentiality and integrity, and potential availability disruption.</t>
  </si>
  <si>
    <t># Create metric filter for console sign-in without MFA
resource "aws_cloudwatch_log_metric_filter" "nomfa" {
  name           = "&lt;example_resource_name&gt;"
  log_group_name = "&lt;example_resource_name&gt;"
  pattern        = "{ ($.eventName = \"ConsoleLogin\") &amp;&amp; ($.additionalEventData.MFAUsed != \"Yes\") }"  # CRITICAL: detects ConsoleLogin without MFA
  metric_transformation {
    name      = "&lt;example_resource_name&gt;"
    namespace = "&lt;example_resource_name&gt;"
    value     = "1"  # CRITICAL: emits a count per match
  }
}
# Alarm on the emitted metric
resource "aws_cloudwatch_metric_alarm" "nomfa" {
  alarm_name          = "&lt;example_resource_name&gt;"
  metric_name         = aws_cloudwatch_log_metric_filter.nomfa.metric_transformation[0].name  # CRITICAL: ties alarm to the metric
  namespace           = aws_cloudwatch_log_metric_filter.nomfa.metric_transformation[0].namespace
  comparison_operator = "GreaterThanOrEqualToThreshold"
  evaluation_periods  = 1
  period              = 300
  statistic           = "Sum"
  threshold           = 1  # CRITICAL: alarm on first event
}</t>
  </si>
  <si>
    <t>https://github.com/prowler-cloud/prowler/blob/master/prowler/providers/aws/services/cloudwatch/cloudwatch_log_metric_filter_sign_in_without_mfa/cloudwatch_log_metric_filter_sign_in_without_mfa.py</t>
  </si>
  <si>
    <t>P-059</t>
  </si>
  <si>
    <t>5.3</t>
  </si>
  <si>
    <t>Ensure usage of the 'root' account is monitored</t>
  </si>
  <si>
    <t>cloudwatch_log_metric_filter_root_usage</t>
  </si>
  <si>
    <t>Account has a CloudWatch Logs metric filter and alarm for root account usage</t>
  </si>
  <si>
    <t>Without alerting on root activity, full-privilege actions can proceed unnoticed, impacting:
- confidentiality via data access/exfiltration
- integrity via policy/config tampering
- availability via deletions or shutdowns
Delayed detection increases blast radius and persistence.</t>
  </si>
  <si>
    <t># CloudWatch Logs metric filter for root account usage
resource "aws_cloudwatch_log_metric_filter" "&lt;example_resource_name&gt;" {
  name           = "&lt;example_resource_name&gt;"
  log_group_name = "&lt;example_resource_name&gt;"
  pattern        = "{ $.userIdentity.type = \"Root\" &amp;&amp; $.userIdentity.invokedBy NOT EXISTS &amp;&amp; $.eventType != \"AwsServiceEvent\" }" # CRITICAL: detects root user actions
  metric_transformation {
    name      = "&lt;example_resource_name&gt;"     # CRITICAL: metric used by the alarm
    namespace = "&lt;example_resource_name&gt;"
    value     = "1"
  }
}
# Alarm on the root usage metric
resource "aws_cloudwatch_metric_alarm" "&lt;example_resource_name&gt;" {
  comparison_operator = "GreaterThanOrEqualToThreshold"
  evaluation_periods  = 1
  metric_name         = "&lt;example_resource_name&gt;"   # CRITICAL: matches metric filter
  namespace           = "&lt;example_resource_name&gt;"
  period              = 300
  statistic           = "Sum"
  threshold           = 1
}</t>
  </si>
  <si>
    <t>https://docs.aws.amazon.com/awscloudtrail/latest/userguide/cloudwatch-alarms-for-cloudtrail.html
https://aws.amazon.com/blogs/security/how-to-receive-notifications-when-your-aws-accounts-root-access-keys-are-used/</t>
  </si>
  <si>
    <t>https://github.com/prowler-cloud/prowler/blob/master/prowler/providers/aws/services/cloudwatch/cloudwatch_log_metric_filter_root_usage/cloudwatch_log_metric_filter_root_usage.py</t>
  </si>
  <si>
    <t>P-060</t>
  </si>
  <si>
    <t>5.4</t>
  </si>
  <si>
    <t>Ensure IAM policy changes are monitored</t>
  </si>
  <si>
    <t>cloudwatch_log_metric_filter_policy_changes</t>
  </si>
  <si>
    <t>CloudWatch Logs metric filter and alarm exist for IAM policy changes</t>
  </si>
  <si>
    <t>Absent alerting on IAM policy changes, privilege modifications can go unnoticed, enabling privilege escalation, hidden backdoors, or permission revocations. This threatens confidentiality and integrity, and may impact availability if critical access is removed or misconfigured.</t>
  </si>
  <si>
    <t># Terraform: Metric filter and alarm for IAM policy changes
resource "aws_cloudwatch_log_metric_filter" "&lt;example_resource_name&gt;" {
  name           = "&lt;example_resource_name&gt;"
  log_group_name = "&lt;example_resource_name&gt;"  # CloudTrail log group
  # CRITICAL: Pattern matching IAM policy change events required by the check
  pattern =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metric_transformation {
    name      = "&lt;example_resource_name&gt;"      # CRITICAL: Metric created from filter
    namespace = "CISBenchmark"                 # CRITICAL: Namespace for the metric
    value     = "1"
  }
}
resource "aws_cloudwatch_metric_alarm" "&lt;example_resource_name&gt;" {
  alarm_name          = "&lt;example_resource_name&gt;"
  # CRITICAL: Alarm on the metric when &gt;= 1 event occurs
  metric_name         = aws_cloudwatch_log_metric_filter.&lt;example_resource_name&gt;.metric_transformation[0].name
  namespace           = aws_cloudwatch_log_metric_filter.&lt;example_resource_name&gt;.metric_transformation[0].namespace
  statistic           = "Sum"
  period              = 300
  evaluation_periods  = 1
  threshold           = 1
  comparison_operator = "GreaterThanOrEqualToThreshold"
}</t>
  </si>
  <si>
    <t>https://github.com/prowler-cloud/prowler/blob/master/prowler/providers/aws/services/cloudwatch/cloudwatch_log_metric_filter_policy_changes/cloudwatch_log_metric_filter_policy_changes.py</t>
  </si>
  <si>
    <t>P-061</t>
  </si>
  <si>
    <t>5.5</t>
  </si>
  <si>
    <t>Ensure CloudTrail configuration changes are monitored</t>
  </si>
  <si>
    <t>cloudwatch_log_metric_filter_and_alarm_for_cloudtrail_configuration_changes_enabled</t>
  </si>
  <si>
    <t>CloudWatch Logs metric filter and alarm exist for CloudTrail configuration changes</t>
  </si>
  <si>
    <t>Absent this monitoring, logging can be stopped or altered without notice, eroding visibility.
That enables covert activity and data exfiltration without audit evidence, harming confidentiality, the integrity of records, and the availability of reliable logs for detection and forensics.</t>
  </si>
  <si>
    <t>resource "aws_cloudwatch_log_metric_filter" "cfg" {
  name           = "&lt;example_resource_name&gt;"
  log_group_name = "&lt;example_resource_name&gt;" # CRITICAL: CloudTrail log group
  pattern        = "{($.eventName = CreateTrail) || ($.eventName = UpdateTrail) || ($.eventName = DeleteTrail) || ($.eventName = StartLogging) || ($.eventName = StopLogging)}" # CRITICAL: Detects CloudTrail config changes
  metric_transformation {
    name      = "&lt;example_resource_name&gt;"   # CRITICAL: Metric created by filter
    namespace = "&lt;example_resource_name&gt;"
    value     = "1"
  }
}
resource "aws_cloudwatch_metric_alarm" "cfg" {
  metric_name         = "&lt;example_resource_name&gt;" # CRITICAL: Uses metric from filter
  namespace           = "&lt;example_resource_name&gt;"
  comparison_operator = "GreaterThanOrEqualToThreshold"
  evaluation_periods  = 1
  period              = 300
  statistic           = "Sum"
  threshold           = 1
}</t>
  </si>
  <si>
    <t>https://github.com/prowler-cloud/prowler/blob/master/prowler/providers/aws/services/cloudwatch/cloudwatch_log_metric_filter_and_alarm_for_cloudtrail_configuration_changes_enabled/cloudwatch_log_metric_filter_and_alarm_for_cloudtrail_configuration_changes_enabled.py</t>
  </si>
  <si>
    <t>P-062</t>
  </si>
  <si>
    <t>5.6</t>
  </si>
  <si>
    <t>Ensure AWS Management Console authentication failures are monitored</t>
  </si>
  <si>
    <t>cloudwatch_log_metric_filter_authentication_failures</t>
  </si>
  <si>
    <t>Account has a CloudWatch Logs metric filter and alarm for AWS Management Console authentication failures</t>
  </si>
  <si>
    <t>Absent visibility into failed console logins enables undetected brute-force and credential-stuffing attempts, extending attacker dwell time.
Successful guesses can grant console access, risking data confidentiality, configuration integrity, and availability through destructive changes.</t>
  </si>
  <si>
    <t># Metric filter and alarm for console authentication failures
resource "aws_cloudwatch_log_metric_filter" "metric" {
  name           = "&lt;example_resource_name&gt;"
  log_group_name = "&lt;example_resource_name&gt;"
  pattern        = "{($.eventName = ConsoleLogin) &amp;&amp; ($.errorMessage = \"Failed authentication\") }" # Critical: detects failed console logins
  metric_transformation {
    name      = "&lt;example_resource_name&gt;"   # Critical: metric created by filter
    namespace = "&lt;example_resource_name&gt;"   # Critical: metric namespace
    value     = "1"
  }
}
resource "aws_cloudwatch_metric_alarm" "alarm" {
  metric_name          = aws_cloudwatch_log_metric_filter.metric.metric_transformation[0].name   # Critical: alarm references the filter's metric
  namespace            = aws_cloudwatch_log_metric_filter.metric.metric_transformation[0].namespace # Critical: must match
  comparison_operator  = "GreaterThanOrEqualToThreshold"
  evaluation_periods   = 1
  period               = 300
  statistic            = "Sum"
  threshold            = 1
}</t>
  </si>
  <si>
    <t>https://github.com/prowler-cloud/prowler/blob/master/prowler/providers/aws/services/cloudwatch/cloudwatch_log_metric_filter_authentication_failures/cloudwatch_log_metric_filter_authentication_failures.py</t>
  </si>
  <si>
    <t>P-063</t>
  </si>
  <si>
    <t>5.7</t>
  </si>
  <si>
    <t>Ensure disabling or scheduled deletion of customer created CMKs is monitored</t>
  </si>
  <si>
    <t>cloudwatch_log_metric_filter_disable_or_scheduled_deletion_of_kms_cmk</t>
  </si>
  <si>
    <t>Account has a CloudWatch log metric filter and alarm for disabling or scheduled deletion of customer-managed KMS keys</t>
  </si>
  <si>
    <t>Missing alerts on CMK disablement or scheduled deletion undermines availability and integrity: encrypted data may become undecryptable, backups unusable, and recovery impossible. Attackers or insiders can change key states unnoticed, causing outages and irreversible data loss.</t>
  </si>
  <si>
    <t># Metric filter for KMS DisableKey or ScheduleKeyDeletion
resource "aws_cloudwatch_log_metric_filter" "cmk" {
  name           = "&lt;example_resource_name&gt;"
  log_group_name = "&lt;example_resource_name&gt;" # CRITICAL: CloudTrail log group
  # CRITICAL: Detect KMS key disable or scheduled deletion events
  pattern = "{($.eventSource = kms.amazonaws.com) &amp;&amp; (($.eventName=DisableKey)||($.eventName=ScheduleKeyDeletion)) }"
  metric_transformation {
    name      = "disable_or_delete_cmk_changes_metric" # CRITICAL: metric used by alarm
    namespace = "CISBenchmark"
    value     = "1"
  }
}
# Alarm for the metric above
resource "aws_cloudwatch_metric_alarm" "cmk" {
  alarm_name          = "&lt;example_resource_name&gt;"
  comparison_operator = "GreaterThanOrEqualToThreshold"
  evaluation_periods  = 1
  metric_name         = "disable_or_delete_cmk_changes_metric" # CRITICAL: same metric name
  namespace           = "CISBenchmark"
  period              = 300
  statistic           = "Sum"
  threshold           = 1
}</t>
  </si>
  <si>
    <t>https://docs.aws.amazon.com/kms/latest/developerguide/deleting-keys-creating-cloudwatch-alarm.html</t>
  </si>
  <si>
    <t>https://github.com/prowler-cloud/prowler/blob/master/prowler/providers/aws/services/cloudwatch/cloudwatch_log_metric_filter_disable_or_scheduled_deletion_of_kms_cmk/cloudwatch_log_metric_filter_disable_or_scheduled_deletion_of_kms_cmk.py</t>
  </si>
  <si>
    <t>P-064</t>
  </si>
  <si>
    <t>5.8</t>
  </si>
  <si>
    <t>Ensure S3 bucket policy changes are monitored</t>
  </si>
  <si>
    <t>cloudwatch_log_metric_filter_for_s3_bucket_policy_changes</t>
  </si>
  <si>
    <t>CloudWatch log metric filter and alarm exist for S3 bucket policy changes</t>
  </si>
  <si>
    <t>Without alerting on S3 policy and ACL changes, unauthorized modifications can go unnoticed, weakening confidentiality and integrity. Misuse could expose buckets publicly, grant write/delete access, or alter replication paths, enabling data exfiltration and destructive actions.</t>
  </si>
  <si>
    <t># CloudWatch metric filter for S3 bucket policy changes
resource "aws_cloudwatch_log_metric_filter" "&lt;example_resource_name&gt;" {
  name           = "&lt;example_resource_name&gt;"
  log_group_name = "&lt;example_resource_name&gt;"
  # Critical: detects S3 bucket policy changes from CloudTrail logs
  pattern = "{($.eventSource=s3.amazonaws.com) &amp;&amp; (($.eventName=PutBucketAcl) || ($.eventName=PutBucketPolicy) || ($.eventName=PutBucketCors) || ($.eventName=PutBucketLifecycle) || ($.eventName=PutBucketReplication) || ($.eventName=DeleteBucketPolicy) || ($.eventName=DeleteBucketCors) || ($.eventName=DeleteBucketLifecycle) || ($.eventName=DeleteBucketReplication))}"
  metric_transformation {
    name      = "&lt;example_resource_name&gt;"
    namespace = "&lt;example_resource_name&gt;"
    value     = "1"
  }
}
# Alarm on the metric filter
resource "aws_cloudwatch_metric_alarm" "&lt;example_resource_name&gt;" {
  alarm_name          = "&lt;example_resource_name&gt;"
  metric_name         = "&lt;example_resource_name&gt;"  # Critical: matches metric filter
  namespace           = "&lt;example_resource_name&gt;"  # Critical: matches metric filter
  comparison_operator = "GreaterThanOrEqualToThreshold"
  evaluation_periods  = 1
  period              = 300
  statistic           = "Sum"
  threshold           = 1
}</t>
  </si>
  <si>
    <t>https://github.com/prowler-cloud/prowler/blob/master/prowler/providers/aws/services/cloudwatch/cloudwatch_log_metric_filter_for_s3_bucket_policy_changes/cloudwatch_log_metric_filter_for_s3_bucket_policy_changes.py</t>
  </si>
  <si>
    <t>P-065</t>
  </si>
  <si>
    <t>5.9</t>
  </si>
  <si>
    <t>Ensure AWS Config configuration changes are monitored</t>
  </si>
  <si>
    <t>cloudwatch_log_metric_filter_and_alarm_for_aws_config_configuration_changes_enabled</t>
  </si>
  <si>
    <t>CloudWatch Logs metric filter and alarm exist for AWS Config configuration changes</t>
  </si>
  <si>
    <t>Without alerting on AWS Config changes, actions like StopConfigurationRecorder or DeleteDeliveryChannel can silently suspend recording and delivery.
This degrades the integrity and availability of configuration audit data, enabling undetected changes and delaying incident response.</t>
  </si>
  <si>
    <t># CloudWatch Logs metric filter for AWS Config changes
resource "aws_cloudwatch_log_metric_filter" "config_change" {
  name           = "aws_config_changes_metric"
  log_group_name = "&lt;example_resource_name&gt;"
  pattern        = "{($.eventSource = config.amazonaws.com) &amp;&amp; (($.eventName=StopConfigurationRecorder)||($.eventName=DeleteDeliveryChannel)||($.eventName=PutDeliveryChannel)||($.eventName=PutConfigurationRecorder))}" # Critical: detects AWS Config configuration change events
  metric_transformation {
    name      = "aws_config_changes_metric"   # Critical: metric used by the alarm
    namespace = "CISBenchmark"
    value     = "1"
  }
}
# Alarm for the above metric
resource "aws_cloudwatch_metric_alarm" "config_change" {
  alarm_name          = "aws_config_changes_alarm"
  metric_name         = "aws_config_changes_metric"   # Critical: ties alarm to the metric filter
  namespace           = "CISBenchmark"
  comparison_operator = "GreaterThanOrEqualToThreshold"
  evaluation_periods  = 1
  period              = 300
  statistic           = "Sum"
  threshold           = 1  # Critical: alarm on first occurrence
}</t>
  </si>
  <si>
    <t>https://github.com/prowler-cloud/prowler/blob/master/prowler/providers/aws/services/cloudwatch/cloudwatch_log_metric_filter_and_alarm_for_aws_config_configuration_changes_enabled/cloudwatch_log_metric_filter_and_alarm_for_aws_config_configuration_changes_enabled.py</t>
  </si>
  <si>
    <t>P-066</t>
  </si>
  <si>
    <t>5.10</t>
  </si>
  <si>
    <t>Ensure security group changes are monitored</t>
  </si>
  <si>
    <t>cloudwatch_log_metric_filter_security_group_changes</t>
  </si>
  <si>
    <t>CloudWatch Logs metric filter and alarm exist for security group changes</t>
  </si>
  <si>
    <t>Without alerting on security group changes, unauthorized or mistaken rules can expose services to the Internet, enabling brute force and lateral movement (confidentiality, integrity). Deletions or restrictive edits can break connectivity (availability). Delayed detection increases attacker dwell time and impact.</t>
  </si>
  <si>
    <t># Metric filter for Security Group changes
resource "aws_cloudwatch_log_metric_filter" "sg" {
  name           = "&lt;example_resource_name&gt;"
  log_group_name = "&lt;example_log_group_name&gt;"
  # Critical: Matches Security Group change events required by the check
  pattern = "{ ($.eventName = AuthorizeSecurityGroupIngress) || ($.eventName = AuthorizeSecurityGroupEgress) || ($.eventName = RevokeSecurityGroupIngress) || ($.eventName = RevokeSecurityGroupEgress) || ($.eventName = CreateSecurityGroup) || ($.eventName = DeleteSecurityGroup) }"
  metric_transformation {
    name      = "&lt;example_metric_name&gt;"
    namespace = "&lt;example_metric_namespace&gt;"
    value     = "1"
  }
}
# Alarm for the above metric
resource "aws_cloudwatch_metric_alarm" "sg" {
  alarm_name          = "&lt;example_resource_name&gt;"
  # Critical: Alarm on the SG change metric to pass the control
  metric_name         = "&lt;example_metric_name&gt;"
  namespace           = "&lt;example_metric_namespace&gt;"
  statistic           = "Sum"
  period              = 300
  evaluation_periods  = 1
  threshold           = 1
  comparison_operator = "GreaterThanOrEqualToThreshold"
}</t>
  </si>
  <si>
    <t>https://docs.aws.amazon.com/awscloudtrail/latest/userguide/cloudwatch-alarms-for-cloudtrail.html
https://docs.aws.amazon.com/AmazonCloudWatch/latest/monitoring/Alarm-On-Logs.html</t>
  </si>
  <si>
    <t>https://github.com/prowler-cloud/prowler/blob/master/prowler/providers/aws/services/cloudwatch/cloudwatch_log_metric_filter_security_group_changes/cloudwatch_log_metric_filter_security_group_changes.py</t>
  </si>
  <si>
    <t>P-067</t>
  </si>
  <si>
    <t>5.11</t>
  </si>
  <si>
    <t>Ensure Network Access Control List (NACL) changes are monitored</t>
  </si>
  <si>
    <t>cloudwatch_changes_to_network_acls_alarm_configured</t>
  </si>
  <si>
    <t>CloudWatch log metric filter and alarm exist for Network ACL (NACL) change events</t>
  </si>
  <si>
    <t>Absent monitoring of NACL changes reduces detection of policy tampering, risking loss of confidentiality (opened ingress/egress), degraded network integrity (lateral movement, bypassed segmentation), and reduced availability (traffic blackholes or lockouts).</t>
  </si>
  <si>
    <t># CloudWatch metric filter and alarm for NACL changes
resource "aws_cloudwatch_log_metric_filter" "nacl" {
  name           = "nacl_changes"
  log_group_name = "&lt;example_resource_name&gt;"  # CloudTrail log group
  pattern        = "{ ($.eventName = CreateNetworkAcl) || ($.eventName = CreateNetworkAclEntry) || ($.eventName = DeleteNetworkAcl) || ($.eventName = DeleteNetworkAclEntry) || ($.eventName = ReplaceNetworkAclEntry) || ($.eventName = ReplaceNetworkAclAssociation) }"  # CRITICAL: detects NACL changes
  metric_transformation {
    name      = "nacl_changes"
    namespace = "CISBenchmark"
    value     = "1"
  }
}
resource "aws_cloudwatch_metric_alarm" "nacl" {
  alarm_name          = "nacl_changes"
  comparison_operator = "GreaterThanOrEqualToThreshold"
  evaluation_periods  = 1
  metric_name         = "nacl_changes"   # CRITICAL: alarm targets the metric from the filter
  namespace           = "CISBenchmark"
  period              = 300
  statistic           = "Sum"
  threshold           = 1
}</t>
  </si>
  <si>
    <t>https://github.com/prowler-cloud/prowler/blob/master/prowler/providers/aws/services/cloudwatch/cloudwatch_changes_to_network_acls_alarm_configured/cloudwatch_changes_to_network_acls_alarm_configured.py</t>
  </si>
  <si>
    <t>P-068</t>
  </si>
  <si>
    <t>5.12</t>
  </si>
  <si>
    <t>Ensure changes to network gateways are monitored</t>
  </si>
  <si>
    <t>cloudwatch_changes_to_network_gateways_alarm_configured</t>
  </si>
  <si>
    <t>CloudWatch Logs metric filter and alarm exist for changes to network gateways</t>
  </si>
  <si>
    <t>Without this monitoring, gateway changes can expose private networks to the Internet or break connectivity. Adversaries or mistakes can enable data exfiltration, bypass network inspection, and trigger outages via deletions or detachments, impacting confidentiality and availability.</t>
  </si>
  <si>
    <t># CloudWatch Logs metric filter for network gateway changes
resource "aws_cloudwatch_log_metric_filter" "&lt;example_resource_name&gt;" {
  name           = "&lt;example_resource_name&gt;"
  log_group_name = "&lt;example_resource_name&gt;"
  pattern        = "{ ($.eventName = CreateCustomerGateway) || ($.eventName = DeleteCustomerGateway) || ($.eventName = AttachInternetGateway) || ($.eventName = CreateInternetGateway) || ($.eventName = DeleteInternetGateway) || ($.eventName = DetachInternetGateway) }" # Critical: matches gateway change events
  metric_transformation {
    name      = "&lt;example_resource_name&gt;"
    namespace = "&lt;example_resource_name&gt;"
    value     = "1"
  }
}
# Alarm on the metric filter
resource "aws_cloudwatch_metric_alarm" "&lt;example_resource_name&gt;" {
  alarm_name          = "&lt;example_resource_name&gt;"
  comparison_operator = "GreaterThanOrEqualToThreshold"
  evaluation_periods  = 1
  metric_name         = "&lt;example_resource_name&gt;"   # Critical: must match metric from the filter
  namespace           = "&lt;example_resource_name&gt;"
  period              = 300
  statistic           = "Sum"
  threshold           = 1
}</t>
  </si>
  <si>
    <t>https://docs.aws.amazon.com/awscloudtrail/latest/userguide/cloudwatch-alarms-for-cloudtrail.html
https://docs.aws.amazon.com/securityhub/latest/userguide/cloudwatch-controls.html#cloudwatch-12</t>
  </si>
  <si>
    <t>https://github.com/prowler-cloud/prowler/blob/master/prowler/providers/aws/services/cloudwatch/cloudwatch_changes_to_network_gateways_alarm_configured/cloudwatch_changes_to_network_gateways_alarm_configured.py</t>
  </si>
  <si>
    <t>P-069</t>
  </si>
  <si>
    <t>5.13</t>
  </si>
  <si>
    <t>Ensure route table changes are monitored</t>
  </si>
  <si>
    <t>cloudwatch_changes_to_network_route_tables_alarm_configured</t>
  </si>
  <si>
    <t>Account monitors VPC route table changes with a CloudWatch Logs metric filter and alarm</t>
  </si>
  <si>
    <t>Without monitoring of route table changes, unauthorized or accidental edits can redirect traffic, bypass inspection, or blackhole routes, impacting confidentiality (exfiltration), integrity (tampered paths), and availability (outages from misrouted traffic).</t>
  </si>
  <si>
    <t># Metric filter + alarm for VPC route table changes
resource "aws_cloudwatch_log_metric_filter" "routes" {
  name           = "&lt;example_resource_name&gt;"
  log_group_name = "&lt;example_resource_name&gt;"
  # CRITICAL: Detect EC2 route table change events in CloudTrail logs
  pattern = "{($.eventSource = ec2.amazonaws.com) &amp;&amp; (($.eventName = CreateRoute) || ($.eventName = CreateRouteTable) || ($.eventName = ReplaceRoute) || ($.eventName = ReplaceRouteTableAssociation) || ($.eventName = DeleteRouteTable) || ($.eventName = DeleteRoute) || ($.eventName = DisassociateRouteTable))}"
  metric_transformation {
    name      = "&lt;example_resource_name&gt;"
    namespace = "&lt;example_resource_name&gt;"
    value     = "1"
  }
}
resource "aws_cloudwatch_metric_alarm" "routes" {
  alarm_name          = "&lt;example_resource_name&gt;"
  # CRITICAL: Alarm targets the metric from the filter above
  metric_name         = "&lt;example_resource_name&gt;"
  namespace           = "&lt;example_resource_name&gt;"
  comparison_operator = "GreaterThanOrEqualToThreshold"
  evaluation_periods  = 1
  period              = 300
  statistic           = "Sum"
  threshold           = 1
}</t>
  </si>
  <si>
    <t>https://github.com/prowler-cloud/prowler/blob/master/prowler/providers/aws/services/cloudwatch/cloudwatch_changes_to_network_route_tables_alarm_configured/cloudwatch_changes_to_network_route_tables_alarm_configured.py</t>
  </si>
  <si>
    <t>P-070</t>
  </si>
  <si>
    <t>5.14</t>
  </si>
  <si>
    <t>Ensure VPC changes are monitored</t>
  </si>
  <si>
    <t>cloudwatch_changes_to_vpcs_alarm_configured</t>
  </si>
  <si>
    <t>AWS account has a CloudWatch Logs metric filter and alarm for VPC changes</t>
  </si>
  <si>
    <t>Without alerting on VPC changes, unauthorized or accidental edits to routes, peering, or attributes can go unnoticed, exposing private networks and enabling data exfiltration (C), lateral movement and traffic tampering (I), and outages from misrouted or bridged networks (A).</t>
  </si>
  <si>
    <t># Metric filter for VPC changes
resource "aws_cloudwatch_log_metric_filter" "&lt;example_resource_name&gt;" {
  name           = "&lt;example_resource_name&gt;"
  log_group_name = "&lt;example_log_group_name&gt;"
  pattern        =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 Critical: matches VPC change events
  metric_transformation {
    name      = "&lt;example_resource_name&gt;"   # Critical: metric created by the filter
    namespace = "CISBenchmark"
    value     = "1"
  }
}
# Alarm on the VPC changes metric
resource "aws_cloudwatch_metric_alarm" "&lt;example_resource_name&gt;" {
  metric_name        = "&lt;example_resource_name&gt;"  # Critical: alarm monitors the filter's metric
  namespace          = "CISBenchmark"
  statistic          = "Sum"
  period             = 300
  evaluation_periods = 1
  threshold          = 1
  comparison_operator = "GreaterThanOrEqualToThreshold"
}</t>
  </si>
  <si>
    <t>https://github.com/prowler-cloud/prowler/blob/master/prowler/providers/aws/services/cloudwatch/cloudwatch_changes_to_vpcs_alarm_configured/cloudwatch_changes_to_vpcs_alarm_configured.py</t>
  </si>
  <si>
    <t>P-071</t>
  </si>
  <si>
    <t>5.15</t>
  </si>
  <si>
    <t>Ensure AWS Organizations changes are monitored</t>
  </si>
  <si>
    <t>cloudwatch_log_metric_filter_aws_organizations_changes</t>
  </si>
  <si>
    <t>CloudWatch Logs metric filter and alarm exist for AWS Organizations changes</t>
  </si>
  <si>
    <t>Without alerting on AWS Organizations changes, attackers or misconfigurations can silently alter governance, enabling unauthorized access and policy bypass. They could create/remove accounts, change or detach SCPs, or delete the organization, risking data exposure (C), privilege escalation (I), and service disruption (A).</t>
  </si>
  <si>
    <t># CloudWatch Logs metric filter for AWS Organizations changes
resource "aws_cloudwatch_log_metric_filter" "organizations_changes" {
  name           = "&lt;example_resource_name&gt;"
  log_group_name = "&lt;example_log_group_name&gt;"
  pattern        = "{ ($.eventSource = organizations.amazonaws.com) &amp;&amp; (($.eventName = \"AcceptHandshake\") || ($.eventName = \"AttachPolicy\") || ($.eventName = \"CancelHandshake\") || ($.eventName = \"CreateAccount\") || ($.eventName = \"CreateOrganization\") || ($.eventName = \"CreateOrganizationalUnit\") || ($.eventName = \"CreatePolicy\") || ($.eventName = \"DeclineHandshake\") || ($.eventName = \"DeleteOrganization\") || ($.eventName = \"DeleteOrganizationalUnit\") || ($.eventName = \"DeletePolicy\") || ($.eventName = \"EnableAllFeatures\") || ($.eventName = \"EnablePolicyType\") || ($.eventName = \"InviteAccountToOrganization\") || ($.eventName = \"LeaveOrganization\") || ($.eventName = \"DetachPolicy\") || ($.eventName = \"DisablePolicyType\") || ($.eventName = \"MoveAccount\") || ($.eventName = \"RemoveAccountFromOrganization\") || ($.eventName = \"UpdateOrganizationalUnit\") || ($.eventName = \"UpdatePolicy\")) }"  # Critical: matches AWS Organizations change events
  metric_transformation {
    name      = "&lt;example_resource_name&gt;"   # Critical: metric created by the filter
    namespace = "CISBenchmark"              # Critical: used by the alarm
    value     = "1"
  }
}
# Alarm on the metric generated by the filter
resource "aws_cloudwatch_metric_alarm" "organizations_changes" {
  alarm_name          = "&lt;example_resource_name&gt;"
  comparison_operator = "GreaterThanOrEqualToThreshold"
  evaluation_periods  = 1
  metric_name         = "&lt;example_resource_name&gt;"  # Critical: matches metric filter name
  namespace           = "CISBenchmark"             # Critical: matches metric filter namespace
  period              = 300
  statistic           = "Sum"
  threshold           = 1
}</t>
  </si>
  <si>
    <t>https://github.com/prowler-cloud/prowler/blob/master/prowler/providers/aws/services/cloudwatch/cloudwatch_log_metric_filter_aws_organizations_changes/cloudwatch_log_metric_filter_aws_organizations_changes.py</t>
  </si>
  <si>
    <t>P-072</t>
  </si>
  <si>
    <t>5.16</t>
  </si>
  <si>
    <t>Ensure AWS Security Hub is enabled</t>
  </si>
  <si>
    <t>securityhub_enabled</t>
  </si>
  <si>
    <t>Security Hub is enabled with standards or integrations configured</t>
  </si>
  <si>
    <t>securityhub</t>
  </si>
  <si>
    <t>Absent Security Hub coverage or standards, security signals are fragmented and control checks don't run. High-risk findings can be missed or delayed, enabling data exfiltration, persistence, and lateral movement. This reduces visibility and undermines confidentiality, integrity, and availability across accounts/Regions.</t>
  </si>
  <si>
    <t>Security Hub is enabled but without any standard or integration.</t>
  </si>
  <si>
    <t>Security Hub is enabled with standards: {securityhub.standards}.</t>
  </si>
  <si>
    <t># Enable Security Hub
resource "aws_securityhub_account" "&lt;example_resource_name&gt;" {}
# Critical: Enable at least one standard so the check passes
resource "aws_securityhub_standards_subscription" "&lt;example_resource_name&gt;_fsbp" {
  standards_arn = "arn:aws:securityhub:&lt;REGION&gt;::standards/aws-foundational-security-best-practices/v/1.0.0" # Enables AWS FSBP
}</t>
  </si>
  <si>
    <t>https://docs.aws.amazon.com/securityhub/latest/userguide/securityhub-settingup.html
https://docs.aws.amazon.com/securityhub/latest/userguide/securityhub-standards-enable-disable.html</t>
  </si>
  <si>
    <t>https://github.com/prowler-cloud/prowler/blob/master/prowler/providers/aws/services/securityhub/securityhub_enabled/securityhub_enabled.py</t>
  </si>
  <si>
    <t>P-073</t>
  </si>
  <si>
    <t>6.1.1</t>
  </si>
  <si>
    <t>Ensure EBS volume encryption is enabled in all regions</t>
  </si>
  <si>
    <t>6 Networking</t>
  </si>
  <si>
    <t>ec2_ebs_default_encryption</t>
  </si>
  <si>
    <t>EBS default encryption is enabled</t>
  </si>
  <si>
    <t>AwsEc2Volume</t>
  </si>
  <si>
    <t>Without encryption by default, data on new EBS volumes and snapshots may be stored in plaintext. A compromised account or mis-shared snapshot can expose disk contents, enabling data exfiltration, offline analysis, and loss of confidentiality.</t>
  </si>
  <si>
    <t>EBS Default Encryption is not activated.</t>
  </si>
  <si>
    <t>EBS Default Encryption is activated.</t>
  </si>
  <si>
    <t>resource "aws_ebs_encryption_by_default" "&lt;example_resource_name&gt;" {
  enabled = true  # Critical: enables default EBS encryption in this region
}</t>
  </si>
  <si>
    <t>aws ec2 enable-ebs-encryption-by-default --region &lt;REGION&gt;</t>
  </si>
  <si>
    <t>https://aws.amazon.com/premiumsupport/knowledge-center/ebs-automatic-encryption/
https://docs.aws.amazon.com/ebs/latest/userguide/encryption-by-default.html</t>
  </si>
  <si>
    <t>https://github.com/prowler-cloud/prowler/blob/master/prowler/providers/aws/services/ec2/ec2_ebs_default_encryption/ec2_ebs_default_encryption.py</t>
  </si>
  <si>
    <t>P-074</t>
  </si>
  <si>
    <t>6.1.2</t>
  </si>
  <si>
    <t>Ensure CIFS access is restricted to trusted networks to prevent unauthorized access</t>
  </si>
  <si>
    <t>ec2_instance_port_cifs_exposed_to_internet</t>
  </si>
  <si>
    <t>EC2 instance does not allow Internet ingress to TCP ports 139 or 445 (CIFS)</t>
  </si>
  <si>
    <t>Publicly reachable SMB allows unauthorized access and remote code execution, enabling credential theft, NTLM relay, and share enumeration. Attackers can exfiltrate files, tamper or delete data, and spread ransomware, degrading confidentiality, integrity, and availability.</t>
  </si>
  <si>
    <t>Instance {instance.id} does not have CIFS ports open to the Internet.</t>
  </si>
  <si>
    <t># Security group without CIFS open to the Internet
resource "aws_security_group" "&lt;example_resource_name&gt;" {
  name   = "&lt;example_resource_name&gt;"
  vpc_id = "&lt;example_resource_id&gt;"
  ingress {
    from_port   = 139
    to_port     = 139
    protocol    = "tcp"
    cidr_blocks = ["10.0.0.0/8"] # CRITICAL: restrict CIFS (139); do not use 0.0.0.0/0
  }
  ingress {
    from_port   = 445
    to_port     = 445
    protocol    = "tcp"
    cidr_blocks = ["10.0.0.0/8"] # CRITICAL: restrict CIFS (445); do not use 0.0.0.0/0
  }
}</t>
  </si>
  <si>
    <t>aws ec2 revoke-security-group-ingress --group-id &lt;SECURITY_GROUP_ID&gt; --ip-permissions '[{"IpProtocol":"tcp","FromPort":139,"ToPort":139,"IpRanges":[{"CidrIp":"0.0.0.0/0"}]},{"IpProtocol":"tcp","FromPort":445,"ToPort":445,"IpRanges":[{"CidrIp":"0.0.0.0/0"}]}]'</t>
  </si>
  <si>
    <t>https://docs.aws.amazon.com/vpc/latest/userguide/VPC_SecurityGroups.html</t>
  </si>
  <si>
    <t>https://github.com/prowler-cloud/prowler/blob/master/prowler/providers/aws/services/ec2/ec2_instance_port_cifs_exposed_to_internet/ec2_instance_port_cifs_exposed_to_internet.py</t>
  </si>
  <si>
    <t>P-075</t>
  </si>
  <si>
    <t>6.2</t>
  </si>
  <si>
    <t>Ensure no Network ACLs allow ingress from 0.0.0.0/0 to remote server administration ports</t>
  </si>
  <si>
    <t>ec2_networkacl_allow_ingress_any_port</t>
  </si>
  <si>
    <t>Network ACL does not allow ingress from 0.0.0.0/0 to any port</t>
  </si>
  <si>
    <t>AwsEc2NetworkAcl</t>
  </si>
  <si>
    <t>Allowing Internet-wide ingress at the subnet layer enables broad port scanning and unsolicited connections. Attackers can probe and exploit exposed services, risking data disclosure and tampering (confidentiality, integrity) and causing outages via floods or brute-force (availability). Any security group lapse then lacks a compensating control.</t>
  </si>
  <si>
    <t>Network ACL {network_acl.name if network_acl.name else network_acl.id} has every port open to the Internet.</t>
  </si>
  <si>
    <t>Network ACL {network_acl.name if network_acl.name else network_acl.id} does not have every port open to the Internet.</t>
  </si>
  <si>
    <t># Deny all inbound from the Internet on the NACL
resource "aws_network_acl_rule" "&lt;example_resource_name&gt;" {
  network_acl_id = "&lt;example_resource_id&gt;"
  rule_number    = 100
  egress         = false
  protocol       = "-1"
  rule_action    = "deny"          # CRITICAL: Denies ingress
  cidr_block     = "0.0.0.0/0"      # CRITICAL: From the Internet (any IP)
}</t>
  </si>
  <si>
    <t>aws ec2 replace-network-acl-entry --network-acl-id &lt;example_resource_id&gt; --ingress --rule-number &lt;RULE_NUMBER&gt; --protocol -1 --rule-action deny --cidr-block 0.0.0.0/0</t>
  </si>
  <si>
    <t>https://docs.aws.amazon.com/vpc/latest/userguide/vpc-network-acls.html</t>
  </si>
  <si>
    <t>https://github.com/prowler-cloud/prowler/blob/master/prowler/providers/aws/services/ec2/ec2_networkacl_allow_ingress_any_port/ec2_networkacl_allow_ingress_any_port.py</t>
  </si>
  <si>
    <t>P-076</t>
  </si>
  <si>
    <t>ec2_networkacl_allow_ingress_tcp_port_22</t>
  </si>
  <si>
    <t>Network ACL does not allow ingress from the Internet to TCP port 22 (SSH)</t>
  </si>
  <si>
    <t>An ACL allowing Internet-wide SSH erodes defense in depth. Systems reachable on TCP 22 face brute-force, credential stuffing, reconnaissance, and SSH exploit attempts.
Changes to routes or security groups can create direct exposure, enabling unauthorized access and lateral movement, undermining confidentiality and integrity.</t>
  </si>
  <si>
    <t>Network ACL {network_acl.name if network_acl.name else network_acl.id} has SSH port 22 open to the Internet.</t>
  </si>
  <si>
    <t>Network ACL {network_acl.name if network_acl.name else network_acl.id} does not have SSH port 22 open to the Internet.</t>
  </si>
  <si>
    <t># Deny SSH (22) from Internet on the NACL
resource "aws_network_acl_rule" "&lt;example_resource_name&gt;" {
  network_acl_id = "&lt;example_resource_id&gt;"
  rule_number    = 1
  egress         = false
  protocol       = "tcp"
  rule_action    = "deny"          # Critical: blocks SSH ingress
  cidr_block     = "0.0.0.0/0"     # Critical: Internet sources
  from_port      = 22               # Critical: SSH port
  to_port        = 22
}</t>
  </si>
  <si>
    <t>aws ec2 replace-network-acl-entry --network-acl-id &lt;NETWORK_ACL_ID&gt; --ingress --rule-number &lt;RULE_NUMBER&gt; --protocol 6 --rule-action deny --cidr-block 0.0.0.0/0 --port-range From=22,To=22</t>
  </si>
  <si>
    <t>https://github.com/prowler-cloud/prowler/blob/master/prowler/providers/aws/services/ec2/ec2_networkacl_allow_ingress_tcp_port_22/ec2_networkacl_allow_ingress_tcp_port_22.py</t>
  </si>
  <si>
    <t>P-077</t>
  </si>
  <si>
    <t>ec2_networkacl_allow_ingress_tcp_port_3389</t>
  </si>
  <si>
    <t>Network ACL does not allow ingress from the Internet to TCP port 3389 (RDP)</t>
  </si>
  <si>
    <t>Internet-exposed RDP enables password spraying, brute force, and exploitation of RDP flaws to gain remote control. Allowing it at the subnet layer weakens defense in depth-a misconfigured security group or route can expose instances-leading to data exfiltration, privilege escalation, and ransomware, impacting confidentiality and integrity.</t>
  </si>
  <si>
    <t>Network ACL {network_acl.name if network_acl.name else network_acl.id} has Microsoft RDP port 3389 open to the Internet.</t>
  </si>
  <si>
    <t>Network ACL {network_acl.name if network_acl.name else network_acl.id} does not have Microsoft RDP port 3389 open to the Internet.</t>
  </si>
  <si>
    <t># Deny inbound RDP (TCP 3389) from the Internet on an existing NACL
resource "aws_network_acl_rule" "&lt;example_resource_name&gt;" {
  network_acl_id = "&lt;example_resource_id&gt;"
  rule_number    = 1                 # Critical: lower than any allow so deny takes precedence
  egress         = false             # Ingress rule
  protocol       = "tcp"
  rule_action    = "deny"            # Critical: block the traffic
  cidr_block     = "0.0.0.0/0"       # Critical: Internet source
  from_port      = 3389              # Critical: RDP port
  to_port        = 3389
}</t>
  </si>
  <si>
    <t>aws ec2 delete-network-acl-entry --network-acl-id &lt;NETWORK_ACL_ID&gt; --ingress --rule-number &lt;RULE_NUMBER&gt;</t>
  </si>
  <si>
    <t>https://github.com/prowler-cloud/prowler/blob/master/prowler/providers/aws/services/ec2/ec2_networkacl_allow_ingress_tcp_port_3389/ec2_networkacl_allow_ingress_tcp_port_3389.py</t>
  </si>
  <si>
    <t>P-078</t>
  </si>
  <si>
    <t>6.3</t>
  </si>
  <si>
    <t>Ensure no security groups allow ingress from 0.0.0.0/0 to remote server administration ports</t>
  </si>
  <si>
    <t>ec2_securitygroup_allow_ingress_from_internet_to_all_ports</t>
  </si>
  <si>
    <t>Security group does not have all ports open to the Internet</t>
  </si>
  <si>
    <t>AwsEc2SecurityGroup</t>
  </si>
  <si>
    <t>Opening every port to the Internet enables broad scanning and exploit attempts, leading to unauthorized access, remote code execution, and data exfiltration, with easier lateral movement into the VPC. Confidentiality, integrity, and availability are all at risk.</t>
  </si>
  <si>
    <t>Security group {security_group.name} ({security_group.id}) has all ports open to the Internet.</t>
  </si>
  <si>
    <t>Security group {security_group.name} ({security_group.id}) does not have all ports open to the Internet.</t>
  </si>
  <si>
    <t># Security Group with no inbound rules (prevents all ports open to the Internet)
resource "aws_security_group" "&lt;example_resource_name&gt;" {
  name   = "&lt;example_resource_name&gt;"
  vpc_id = "&lt;example_resource_id&gt;"
  # Critical: no ingress blocks; avoids any rule with protocol "-1" from 0.0.0.0/0 or ::/0
}</t>
  </si>
  <si>
    <t>https://github.com/prowler-cloud/prowler/blob/master/prowler/providers/aws/services/ec2/ec2_securitygroup_allow_ingress_from_internet_to_all_ports/ec2_securitygroup_allow_ingress_from_internet_to_all_ports.py</t>
  </si>
  <si>
    <t>P-079</t>
  </si>
  <si>
    <t>ec2_securitygroup_allow_ingress_from_internet_to_tcp_port_22</t>
  </si>
  <si>
    <t>Security group does not allow ingress from 0.0.0.0/0 or ::/0 to TCP port 22 (SSH)</t>
  </si>
  <si>
    <t>Exposed SSH invites Internet-scale brute force and credential stuffing. A successful login grants remote shell, enabling data theft (confidentiality), code or config tampering (integrity), and cryptomining or service disruption (availability), plus lateral movement within the environment.</t>
  </si>
  <si>
    <t>Security group {security_group.name} ({security_group.id}) has SSH port 22 open to the Internet.</t>
  </si>
  <si>
    <t>Security group {security_group.name} ({security_group.id}) does not have SSH port 22 open to the Internet.</t>
  </si>
  <si>
    <t># Terraform: restrict SSH from the Internet
resource "aws_security_group" "&lt;example_resource_name&gt;" {
  vpc_id = "&lt;example_resource_id&gt;"
  ingress {
    from_port   = 22
    to_port     = 22
    protocol    = "tcp"
    cidr_blocks = ["10.0.0.0/8"]  # Critical: do not use 0.0.0.0/0 or ::/0
  }
}</t>
  </si>
  <si>
    <t>aws ec2 revoke-security-group-ingress --group-id &lt;SECURITY_GROUP_ID&gt; --protocol tcp --port 22 --cidr 0.0.0.0/0</t>
  </si>
  <si>
    <t>https://github.com/prowler-cloud/prowler/blob/master/prowler/providers/aws/services/ec2/ec2_securitygroup_allow_ingress_from_internet_to_tcp_port_22/ec2_securitygroup_allow_ingress_from_internet_to_tcp_port_22.py</t>
  </si>
  <si>
    <t>P-080</t>
  </si>
  <si>
    <t>ec2_securitygroup_allow_ingress_from_internet_to_tcp_port_3389</t>
  </si>
  <si>
    <t>Security group does not allow ingress from the Internet to TCP port 3389 (RDP)</t>
  </si>
  <si>
    <t>Internet-exposed RDP enables brute force and credential stuffing and increases the chance of remote code execution via RDP flaws.
Adversaries can gain interactive access, exfiltrate data (confidentiality), tamper with systems (integrity), and trigger ransomware or service disruption (availability).</t>
  </si>
  <si>
    <t>Security group {security_group.name} ({security_group.id}) has Microsoft RDP port 3389 open to the Internet.</t>
  </si>
  <si>
    <t>Security group {security_group.name} ({security_group.id}) does not have Microsoft RDP port 3389 open to the Internet.</t>
  </si>
  <si>
    <t># Restrict RDP (3389) from the Internet
resource "aws_security_group" "&lt;example_resource_name&gt;" {
  vpc_id = "&lt;example_resource_id&gt;"
  ingress {
    from_port   = 3389
    to_port     = 3389
    protocol    = "tcp"
    cidr_blocks = ["10.0.0.0/8"] # FIX: not 0.0.0.0/0; restricts RDP to internal range
  }
}</t>
  </si>
  <si>
    <t>aws ec2 revoke-security-group-ingress --group-id &lt;SECURITY_GROUP_ID&gt; --protocol tcp --port 3389 --cidr 0.0.0.0/0</t>
  </si>
  <si>
    <t>https://github.com/prowler-cloud/prowler/blob/master/prowler/providers/aws/services/ec2/ec2_securitygroup_allow_ingress_from_internet_to_tcp_port_3389/ec2_securitygroup_allow_ingress_from_internet_to_tcp_port_3389.py</t>
  </si>
  <si>
    <t>P-081</t>
  </si>
  <si>
    <t>6.4</t>
  </si>
  <si>
    <t>Ensure no security groups allow ingress from ::/0 to remote server administration ports</t>
  </si>
  <si>
    <t>P-082</t>
  </si>
  <si>
    <t>P-083</t>
  </si>
  <si>
    <t>P-084</t>
  </si>
  <si>
    <t>6.5</t>
  </si>
  <si>
    <t>Ensure the default security group of every VPC restricts all traffic</t>
  </si>
  <si>
    <t>ec2_securitygroup_default_restrict_traffic</t>
  </si>
  <si>
    <t>VPC default security group has no inbound or outbound rules</t>
  </si>
  <si>
    <t>Permissive rules in the default security group mean instances that inherit it can communicate widely. This enables lateral movement, port scanning, and data exfiltration; unrestricted egress aids C2. Confidentiality and integrity are reduced, and the blast radius of a compromise grows.</t>
  </si>
  <si>
    <t>Default Security Group ({security_group.id}) rules allow traffic.</t>
  </si>
  <si>
    <t>Default Security Group ({security_group.id}) rules do not allow traffic.</t>
  </si>
  <si>
    <t>resource "aws_default_security_group" "&lt;example_resource_name&gt;" {
  vpc_id = "&lt;example_vpc_id&gt;"
  ingress = []  # Critical: removes all inbound rules from the default SG
  egress  = []  # Critical: removes all outbound rules from the default SG
}</t>
  </si>
  <si>
    <t>https://docs.aws.amazon.com/eks/latest/userguide/sec-group-reqs.html
https://docs.aws.amazon.com/config/latest/developerguide/vpc-default-security-group-closed.html</t>
  </si>
  <si>
    <t>https://github.com/prowler-cloud/prowler/blob/master/prowler/providers/aws/services/ec2/ec2_securitygroup_default_restrict_traffic/ec2_securitygroup_default_restrict_traffic.py</t>
  </si>
  <si>
    <t>P-085</t>
  </si>
  <si>
    <t>6.6</t>
  </si>
  <si>
    <t>Ensure routing tables for VPC peering are "least access"</t>
  </si>
  <si>
    <t>vpc_peering_routing_tables_with_least_privilege</t>
  </si>
  <si>
    <t>VPC peering connection route tables do not include 0.0.0.0/0 or entire requester/accepter VPC CIDR routes</t>
  </si>
  <si>
    <t>AwsEc2VpcPeeringConnection</t>
  </si>
  <si>
    <t>Broad peering routes expand cross-VPC reachability, enabling lateral movement and unauthorized discovery, harming confidentiality and integrity. Using 0.0.0.0/0 or full-CIDR paths also increases misrouting with overlapping ranges, reducing network availability.</t>
  </si>
  <si>
    <t>VPC Peering Connection {peer.id} does not comply with least privilege access since it accepts whole VPCs CIDR in its route tables.</t>
  </si>
  <si>
    <t>VPC Peering Connection {peer.id} comply with least privilege access.</t>
  </si>
  <si>
    <t># Restrict VPC peering route to a specific subnet (least privilege)
resource "aws_route" "peering_specific" {
  route_table_id             = "&lt;example_resource_id&gt;"
  destination_cidr_block     = "10.0.1.0/24"  # CRITICAL: specific subnet, not 0.0.0.0/0 or full VPC CIDR
  vpc_peering_connection_id  = "&lt;example_resource_id&gt;"
}</t>
  </si>
  <si>
    <t>https://docs.aws.amazon.com/vpc/latest/peering/peering-configurations-partial-access.html</t>
  </si>
  <si>
    <t>https://github.com/prowler-cloud/prowler/blob/master/prowler/providers/aws/services/vpc/vpc_peering_routing_tables_with_least_privilege/vpc_peering_routing_tables_with_least_privilege.py</t>
  </si>
  <si>
    <t>P-086</t>
  </si>
  <si>
    <t>6.7</t>
  </si>
  <si>
    <t>Ensure that the EC2 Metadata Service only allows IMDSv2</t>
  </si>
  <si>
    <t>ec2_instance_imdsv2_enabled</t>
  </si>
  <si>
    <t>EC2 instance requires IMDSv2 or has the instance metadata service disabled</t>
  </si>
  <si>
    <t>Permitting IMDSv1 or optional tokens lets SSRF or compromised workloads retrieve temporary IAM credentials, impacting confidentiality and integrity. Stolen role creds can drive privilege escalation, unauthorized data access, and lateral movement across AWS resources.</t>
  </si>
  <si>
    <t>EC2 Instance {instance.id} has IMDSv2 disabled or not required.</t>
  </si>
  <si>
    <t>EC2 Instance {instance.id} has IMDSv2 enabled and required.</t>
  </si>
  <si>
    <t># Enforce IMDSv2 on an EC2 instance
resource "aws_instance" "&lt;example_resource_name&gt;" {
  ami           = "&lt;example_resource_id&gt;"
  instance_type = "&lt;example_resource_name&gt;"
  metadata_options {
    http_tokens = "required"  # Critical: Require IMDSv2 tokens (blocks IMDSv1)
  }
}</t>
  </si>
  <si>
    <t>aws ec2 modify-instance-metadata-options --instance-id &lt;instance-id&gt; --http-tokens required --http-endpoint enabled</t>
  </si>
  <si>
    <t>https://docs.aws.amazon.com/AWSEC2/latest/UserGuide/configuring-instance-metadata-service.html#configuring-instance-metadata-options</t>
  </si>
  <si>
    <t>https://github.com/prowler-cloud/prowler/blob/master/prowler/providers/aws/services/ec2/ec2_instance_imdsv2_enabled/ec2_instance_imdsv2_enabled.py</t>
  </si>
  <si>
    <t>Edge_ID</t>
  </si>
  <si>
    <t>Edge_Type</t>
  </si>
  <si>
    <t>Recommendation / Check</t>
  </si>
  <si>
    <t>What the real data shows</t>
  </si>
  <si>
    <t>Expected generator behaviour</t>
  </si>
  <si>
    <t>E-001</t>
  </si>
  <si>
    <t>Manual assessment in CIS but partly automatable</t>
  </si>
  <si>
    <t>CIS marks this Manual; Prowler still automates part of it.</t>
  </si>
  <si>
    <t>Rule may ship but finding text must say it is a partial/automated proxy; SME sign-off required.</t>
  </si>
  <si>
    <t>E-002</t>
  </si>
  <si>
    <t>No automated check exists</t>
  </si>
  <si>
    <t>2.1.2</t>
  </si>
  <si>
    <t>Ensure authorization guardrails for all AWS Organization accounts</t>
  </si>
  <si>
    <t>Prowler maps no check to this recommendation.</t>
  </si>
  <si>
    <t>Generator must NOT invent a rule. Expected output: 'manual control / organisational process', route to SME.</t>
  </si>
  <si>
    <t>E-003</t>
  </si>
  <si>
    <t>2.1.3</t>
  </si>
  <si>
    <t>Ensure Organizations management account is not used for workloads</t>
  </si>
  <si>
    <t>E-004</t>
  </si>
  <si>
    <t>2.1.4</t>
  </si>
  <si>
    <t>Ensure Organizational Units are structured by environment and sensitivity</t>
  </si>
  <si>
    <t>E-005</t>
  </si>
  <si>
    <t>E-006</t>
  </si>
  <si>
    <t>E-007</t>
  </si>
  <si>
    <t>E-008</t>
  </si>
  <si>
    <t>E-009</t>
  </si>
  <si>
    <t>E-010</t>
  </si>
  <si>
    <t>E-011</t>
  </si>
  <si>
    <t>One recommendation -&gt; many rules</t>
  </si>
  <si>
    <t>Reference checks: iam_user_accesskey_unused, iam_user_console_access_unused</t>
  </si>
  <si>
    <t>Generator must produce 2 rules (one per resource type/condition), not one combined rule.</t>
  </si>
  <si>
    <t>E-012</t>
  </si>
  <si>
    <t>Reference checks: iam_aws_attached_policy_no_administrative_privileges, iam_customer_attached_policy_no_administrative_privileges</t>
  </si>
  <si>
    <t>E-013</t>
  </si>
  <si>
    <t>E-014</t>
  </si>
  <si>
    <t>E-015</t>
  </si>
  <si>
    <t>Reference checks: s3_bucket_policy_public_write_access, sqs_queues_not_publicly_accessible, sns_topics_not_publicly_accessible, awslambda_function_not_publicly_accessible, kms_key_not_publicly_accessible, glacier_vaults_policy_public_access, secretsmanager_not_publicly_accessible, eventbridge_bus_exposed</t>
  </si>
  <si>
    <t>Generator must produce 8 rules (one per resource type/condition), not one combined rule.</t>
  </si>
  <si>
    <t>E-016</t>
  </si>
  <si>
    <t>E-017</t>
  </si>
  <si>
    <t>E-018</t>
  </si>
  <si>
    <t>E-019</t>
  </si>
  <si>
    <t>Reference checks: s3_bucket_level_public_access_block, s3_account_level_public_access_blocks</t>
  </si>
  <si>
    <t>E-020</t>
  </si>
  <si>
    <t>Reference checks: rds_cluster_multi_az, rds_instance_multi_az</t>
  </si>
  <si>
    <t>E-021</t>
  </si>
  <si>
    <t>E-022</t>
  </si>
  <si>
    <t>E-023</t>
  </si>
  <si>
    <t>E-024</t>
  </si>
  <si>
    <t>Reference checks: cloudfront_distributions_logging_enabled, elbv2_logging_enabled, apigateway_restapi_logging_enabled, apigatewayv2_api_access_logging_enabled</t>
  </si>
  <si>
    <t>Generator must produce 4 rules (one per resource type/condition), not one combined rule.</t>
  </si>
  <si>
    <t>E-025</t>
  </si>
  <si>
    <t>E-026</t>
  </si>
  <si>
    <t>E-027</t>
  </si>
  <si>
    <t>E-028</t>
  </si>
  <si>
    <t>E-029</t>
  </si>
  <si>
    <t>E-030</t>
  </si>
  <si>
    <t>E-031</t>
  </si>
  <si>
    <t>E-032</t>
  </si>
  <si>
    <t>E-033</t>
  </si>
  <si>
    <t>E-034</t>
  </si>
  <si>
    <t>E-035</t>
  </si>
  <si>
    <t>E-036</t>
  </si>
  <si>
    <t>E-037</t>
  </si>
  <si>
    <t>E-038</t>
  </si>
  <si>
    <t>E-039</t>
  </si>
  <si>
    <t>E-040</t>
  </si>
  <si>
    <t>E-041</t>
  </si>
  <si>
    <t>Reference checks: ec2_networkacl_allow_ingress_any_port, ec2_networkacl_allow_ingress_tcp_port_22, ec2_networkacl_allow_ingress_tcp_port_3389</t>
  </si>
  <si>
    <t>Generator must produce 3 rules (one per resource type/condition), not one combined rule.</t>
  </si>
  <si>
    <t>E-042</t>
  </si>
  <si>
    <t>Reference checks: ec2_securitygroup_allow_ingress_from_internet_to_all_ports, ec2_securitygroup_allow_ingress_from_internet_to_tcp_port_22, ec2_securitygroup_allow_ingress_from_internet_to_tcp_port_3389</t>
  </si>
  <si>
    <t>E-043</t>
  </si>
  <si>
    <t>E-044</t>
  </si>
  <si>
    <t>E-045</t>
  </si>
  <si>
    <t>6.8</t>
  </si>
  <si>
    <t>Ensure VPC Endpoints are used for access to AWS Services</t>
  </si>
  <si>
    <t>E-046</t>
  </si>
  <si>
    <t>One rule satisfies many recommendations</t>
  </si>
  <si>
    <t>2.1.5, 2.1.6</t>
  </si>
  <si>
    <t>Check organizations_delegated_administrators is reused by CIS 2.1.5, 2.1.6.</t>
  </si>
  <si>
    <t>Generator should detect an existing rule and add a benchmark mapping instead of creating a duplicate rule.</t>
  </si>
  <si>
    <t>E-047</t>
  </si>
  <si>
    <t>6.3, 6.4</t>
  </si>
  <si>
    <t>Check ec2_securitygroup_allow_ingress_from_internet_to_all_ports is reused by CIS 6.3, 6.4.</t>
  </si>
  <si>
    <t>E-048</t>
  </si>
  <si>
    <t>Check ec2_securitygroup_allow_ingress_from_internet_to_tcp_port_22 is reused by CIS 6.3, 6.4.</t>
  </si>
  <si>
    <t>E-049</t>
  </si>
  <si>
    <t>Check ec2_securitygroup_allow_ingress_from_internet_to_tcp_port_3389 is reused by CIS 6.3, 6.4.</t>
  </si>
  <si>
    <t>E-050</t>
  </si>
  <si>
    <t>Scope: account-level setting overrides resource-level</t>
  </si>
  <si>
    <t>Prowler check s3_bucket_level_public_access_block PASSES a bucket without bucket-level settings if account-level Block Public Access has IgnorePublicAcls and RestrictPublicBuckets enabled.</t>
  </si>
  <si>
    <t>Rule must evaluate both account- and bucket-level config. A bucket-only rule produces FALSE POSITIVES.</t>
  </si>
  <si>
    <t>E-051</t>
  </si>
  <si>
    <t>IPv4 vs IPv6 variant</t>
  </si>
  <si>
    <t>6.3 / 6.4</t>
  </si>
  <si>
    <t>Security groups ingress from 0.0.0.0/0 and ::/0</t>
  </si>
  <si>
    <t>Two CIS recommendations differ only by address family; same reference checks.</t>
  </si>
  <si>
    <t>Rule must cover both 0.0.0.0/0 and ::/0. Missing ::/0 = FALSE NEGATIVE.</t>
  </si>
  <si>
    <t>Triage_ID</t>
  </si>
  <si>
    <t>Date</t>
  </si>
  <si>
    <t>AWS Announcement (title)</t>
  </si>
  <si>
    <t>URL</t>
  </si>
  <si>
    <t>Expected_Label</t>
  </si>
  <si>
    <t>Expected_Needs_Rule (Y/N)</t>
  </si>
  <si>
    <t>Label_Rationale</t>
  </si>
  <si>
    <t>Label_Status</t>
  </si>
  <si>
    <t>Predicted_Needs_Rule (Y/N) [INPUT]</t>
  </si>
  <si>
    <t>Correct?</t>
  </si>
  <si>
    <t>T-001</t>
  </si>
  <si>
    <t>26 Oct 2026</t>
  </si>
  <si>
    <t>OpenAI GPT-6.1 Terra is now generally available on Amazon Bedrock</t>
  </si>
  <si>
    <t>https://aws.amazon.com/about-aws/whats-new/2026/10/openai-gpt-6-1-terra-on-amazon-bedrock/</t>
  </si>
  <si>
    <t>No rule: AI/ML feature</t>
  </si>
  <si>
    <t>N</t>
  </si>
  <si>
    <t>AI/ML model or feature availability; no security setting announced.</t>
  </si>
  <si>
    <t>Draft (Claude): verify</t>
  </si>
  <si>
    <t>T-002</t>
  </si>
  <si>
    <t>Amazon WorkSpaces Core Managed Instances now supports ModifyVolume API</t>
  </si>
  <si>
    <t>https://aws.amazon.com/about-aws/whats-new/2026/10/amazon-workspaces-cmi-modifyvolume/</t>
  </si>
  <si>
    <t>No rule: non-security feature</t>
  </si>
  <si>
    <t>Functional feature; no security-relevant configuration in title.</t>
  </si>
  <si>
    <t>T-003</t>
  </si>
  <si>
    <t>Amazon SageMaker Unified Studio adds light mode support for IDC-based domains</t>
  </si>
  <si>
    <t>https://aws.amazon.com/about-aws/whats-new/2026/10/smus-light-mode</t>
  </si>
  <si>
    <t>T-004</t>
  </si>
  <si>
    <t>Amazon Connect Customer expands testing and simulation to validate flow action outcomes</t>
  </si>
  <si>
    <t>https://aws.amazon.com/about-aws/whats-new/2026/10/connect-customer-validate-flow-actions/</t>
  </si>
  <si>
    <t>T-005</t>
  </si>
  <si>
    <t>Amazon Connect Customer now lets you view metrics by customer lifetime value and repeat-caller status</t>
  </si>
  <si>
    <t>https://aws.amazon.com/about-aws/whats-new/2026/10/connect-customer-boma-segment/</t>
  </si>
  <si>
    <t>T-006</t>
  </si>
  <si>
    <t>Amazon Connect Customer now measures the outcomes that drive retention and revenue</t>
  </si>
  <si>
    <t>https://aws.amazon.com/about-aws/whats-new/2026/10/connect-customer-boma-metrics/</t>
  </si>
  <si>
    <t>T-007</t>
  </si>
  <si>
    <t>AWS IAM Identity Center now supports cross-Region trusted identity propagation</t>
  </si>
  <si>
    <t>https://aws.amazon.com/about-aws/whats-new/2026/10/aws-iam-identity-center-cross-region-tip/</t>
  </si>
  <si>
    <t>New rule candidate</t>
  </si>
  <si>
    <t>Y</t>
  </si>
  <si>
    <t>New identity-propagation setting; check trust scope configuration.</t>
  </si>
  <si>
    <t>T-008</t>
  </si>
  <si>
    <t>AWS Key Management Service now supports ML-KEM for post-quantum key encapsulation</t>
  </si>
  <si>
    <t>https://aws.amazon.com/about-aws/whats-new/2026/10/kms-ml-kem-post-quantum/</t>
  </si>
  <si>
    <t>New KMS key spec; possible rule on post-quantum readiness / key spec policy.</t>
  </si>
  <si>
    <t>T-009</t>
  </si>
  <si>
    <t>AWS EC2 Auto Scaling now supports Launch Before Terminate at account-level to replace instances</t>
  </si>
  <si>
    <t>https://aws.amazon.com/about-aws/whats-new/2026/10/ec2-auto-scaling-launch-before-terminate/</t>
  </si>
  <si>
    <t>T-010</t>
  </si>
  <si>
    <t>Amazon RDS now supports the latest Cumulative Update and GDR updates for Microsoft SQL Server</t>
  </si>
  <si>
    <t>https://aws.amazon.com/about-aws/whats-new/2026/10/amazon-rds-supports-latest-cumulative-update-gdr-microsoft-sql-server/</t>
  </si>
  <si>
    <t>T-011</t>
  </si>
  <si>
    <t>AWS Glue Data Catalog now supports OAuth for Apache Iceberg REST Catalog APIs</t>
  </si>
  <si>
    <t>https://aws.amazon.com/about-aws/whats-new/2026/10/glue-catalog-oauth-iceberg-rest/</t>
  </si>
  <si>
    <t>New auth option on catalog API; check authentication configuration.</t>
  </si>
  <si>
    <t>T-012</t>
  </si>
  <si>
    <t>23 Oct 2026</t>
  </si>
  <si>
    <t>Web Search on Amazon Bedrock now supports domain filtering and user location controls</t>
  </si>
  <si>
    <t>https://aws.amazon.com/about-aws/whats-new/2026/10/bedrock-web-search-domain-user-location/</t>
  </si>
  <si>
    <t>T-013</t>
  </si>
  <si>
    <t>Amazon Connect Customer Global Resiliency now supports persistent chat across linked AWS Regions</t>
  </si>
  <si>
    <t>https://aws.amazon.com/about-aws/whats-new/2026/10/amazon-connect-global-resiliency-persistent-chat</t>
  </si>
  <si>
    <t>No rule: region/availability</t>
  </si>
  <si>
    <t>Region or availability expansion; no new configuration surface.</t>
  </si>
  <si>
    <t>T-014</t>
  </si>
  <si>
    <t>AWS Transit Gateway and AWS Cloud WAN now support 1:1 NAT</t>
  </si>
  <si>
    <t>https://aws.amazon.com/about-aws/whats-new/2026/10/aws-transit-gateway-cloud-wan-1-1-nat/</t>
  </si>
  <si>
    <t>New NAT capability on network path; possible exposure check.</t>
  </si>
  <si>
    <t>T-015</t>
  </si>
  <si>
    <t>Amazon Corretto October 2026 Quarterly Updates</t>
  </si>
  <si>
    <t>https://aws.amazon.com/about-aws/whats-new/2026/10/amazon-corretto-october-2026-quarterly-updates</t>
  </si>
  <si>
    <t>T-016</t>
  </si>
  <si>
    <t>Amazon EMR on EKS reduces EMR charge by 30 percent</t>
  </si>
  <si>
    <t>https://aws.amazon.com/about-aws/whats-new/2026/10/emr-eks-reduces-emr-charge-30-percent/</t>
  </si>
  <si>
    <t>No rule: pricing</t>
  </si>
  <si>
    <t>Pricing change.</t>
  </si>
  <si>
    <t>T-017</t>
  </si>
  <si>
    <t>Amazon MWAA now available in Mexico (Central) Region</t>
  </si>
  <si>
    <t>https://aws.amazon.com/about-aws/whats-new/2026/10/amazon-mwaa-mexico-central/</t>
  </si>
  <si>
    <t>T-018</t>
  </si>
  <si>
    <t>22 Oct 2026</t>
  </si>
  <si>
    <t>Amazon Connect Customer now supports customizing the Customer Profiles app on the agent workspace</t>
  </si>
  <si>
    <t>https://aws.amazon.com/about-aws/whats-new/2026/10/connect-customer-customize-cp</t>
  </si>
  <si>
    <t>T-019</t>
  </si>
  <si>
    <t>AWS Continuum for code vulnerabilities is now generally available</t>
  </si>
  <si>
    <t>https://aws.amazon.com/about-aws/whats-new/2026/10/aws-continuum-for-code-vulnerabilities-is-now-generally-available</t>
  </si>
  <si>
    <t>T-020</t>
  </si>
  <si>
    <t>Amazon OpenSearch Service introduces intelligent ingestion for logs and documents in Amazon S3</t>
  </si>
  <si>
    <t>https://aws.amazon.com/about-aws/whats-new/2026/10/amazon-opensearch-intelligent-ingestion-logs-documents-s3</t>
  </si>
  <si>
    <t>T-021</t>
  </si>
  <si>
    <t>Amazon OpenSearch Serverless now supports a 5-second default refresh interval</t>
  </si>
  <si>
    <t>https://aws.amazon.com/about-aws/whats-new/2026/10/amazon-opensearch-serverless-supports-5-second-refresh-interval/</t>
  </si>
  <si>
    <t>T-022</t>
  </si>
  <si>
    <t>AWS CloudFormation now simplifies stack update rollback operations</t>
  </si>
  <si>
    <t>https://aws.amazon.com/about-aws/whats-new/2026/10/aws-cloudformation-cdk/</t>
  </si>
  <si>
    <t>T-023</t>
  </si>
  <si>
    <t>Amazon SageMaker AI announces training session APIs for serverless model customization</t>
  </si>
  <si>
    <t>https://aws.amazon.com/about-aws/whats-new/2026/10/training-session-apis-on-sagemaker-ai</t>
  </si>
  <si>
    <t>T-024</t>
  </si>
  <si>
    <t>AWS Direct Connect announces 100G expansion in Bangalore, India</t>
  </si>
  <si>
    <t>https://aws.amazon.com/about-aws/whats-new/2026/10/aws-direct-connect-100g-bangalore/</t>
  </si>
  <si>
    <t>T-025</t>
  </si>
  <si>
    <t>Amazon MSK Connect now supports pausing and resuming connectors</t>
  </si>
  <si>
    <t>https://aws.amazon.com/about-aws/whats-new/2026/10/amazon-msk-connect-pause-resume</t>
  </si>
  <si>
    <t>T-026</t>
  </si>
  <si>
    <t>AWS announces AWS Interconnect - last mile preview with Megaport</t>
  </si>
  <si>
    <t>https://aws.amazon.com/about-aws/whats-new/2026/10/aws-announces-AWS-interconnect-last-mile-megaport-preview/</t>
  </si>
  <si>
    <t>T-027</t>
  </si>
  <si>
    <t>Amazon SageMaker AI now supports serverless model customization for Muse Glimmer, Qwen 3.8 and Ministral 3 models</t>
  </si>
  <si>
    <t>https://aws.amazon.com/about-aws/whats-new/2026/10/amazon-sagemaker-muse-qwen-ministral/</t>
  </si>
  <si>
    <t>T-028</t>
  </si>
  <si>
    <t>AgentCore Gateway now supports Bedrock InvokeModel APIs and model fallback</t>
  </si>
  <si>
    <t>https://aws.amazon.com/about-aws/whats-new/2026/10/agentcore-gateway-invokemodel-fallback/</t>
  </si>
  <si>
    <t>T-029</t>
  </si>
  <si>
    <t>AWS Lambda MicroVMs is now available in 4 additional AWS regions</t>
  </si>
  <si>
    <t>https://aws.amazon.com/about-aws/whats-new/2026/10/lambda-microvms-4-additional-regions</t>
  </si>
  <si>
    <t>T-030</t>
  </si>
  <si>
    <t>Amazon Quick Now Available in the AWS Singapore Region</t>
  </si>
  <si>
    <t>https://aws.amazon.com/about-aws/whats-new/2026/10/amazon-quick-now-available-in-the-aws-singapore-region/</t>
  </si>
  <si>
    <t>T-031</t>
  </si>
  <si>
    <t>21 Oct 2026</t>
  </si>
  <si>
    <t>AWS Transform adds storage migration assessments for Amazon S3, EBS, EFS, and FSx</t>
  </si>
  <si>
    <t>https://aws.amazon.com/about-aws/whats-new/2026/10/transform-assess-s3-ebs-efs-fsx/</t>
  </si>
  <si>
    <t>T-032</t>
  </si>
  <si>
    <t>AWS Service Reference Information now supports global condition keys, service names, and data plane classification</t>
  </si>
  <si>
    <t>https://aws.amazon.com/about-aws/whats-new/2026/10/aws-service-reference-information-global-condition-keys-service-names-data-plane/</t>
  </si>
  <si>
    <t>Source/tooling update</t>
  </si>
  <si>
    <t>New machine-readable IAM reference data; useful input for the research agent, no rule.</t>
  </si>
  <si>
    <t>T-033</t>
  </si>
  <si>
    <t>AWS Direct Connect announces 100G expansion in Manchester, England</t>
  </si>
  <si>
    <t>https://aws.amazon.com/about-aws/whats-new/2026/10/aws-direct-connect-100g-manchester/</t>
  </si>
  <si>
    <t>T-034</t>
  </si>
  <si>
    <t>Amazon Aurora and Amazon RDS now support On-Demand Capacity Reservations</t>
  </si>
  <si>
    <t>https://aws.amazon.com/about-aws/whats-new/2026/10/amazon-aurora-rds-on-demand-capacity-reservations/</t>
  </si>
  <si>
    <t>T-035</t>
  </si>
  <si>
    <t>Amazon Cognito extends multi-Region replication to AWS GovCloud (US) Regions</t>
  </si>
  <si>
    <t>https://aws.amazon.com/about-aws/whats-new/2026/10/cognito-multi-region-us-govcloud/</t>
  </si>
  <si>
    <t>T-036</t>
  </si>
  <si>
    <t>Beam model by Reflection is now available on Amazon SageMaker JumpStart and AWS Trainium</t>
  </si>
  <si>
    <t>https://aws.amazon.com/about-aws/whats-new/2026/01/reflection-beam-on-sagemaker-jumpstart-and-aws-trainium/</t>
  </si>
  <si>
    <t>T-037</t>
  </si>
  <si>
    <t>AWS Neuron 2.33 adds native PyTorch support, Neuron Observer, and other new features</t>
  </si>
  <si>
    <t>https://aws.amazon.com/about-aws/whats-new/2026/10/aws-announce-neuron-2-33-0</t>
  </si>
  <si>
    <t>T-038</t>
  </si>
  <si>
    <t>Amazon Connect Customer launches two new layouts for agent workspace</t>
  </si>
  <si>
    <t>https://aws.amazon.com/about-aws/whats-new/2026/10/connect-customer-new-layouts-agent-workspace</t>
  </si>
  <si>
    <t>T-039</t>
  </si>
  <si>
    <t>Amazon S3 server access log delivery to Amazon CloudWatch Logs now available in five additional AWS Regions</t>
  </si>
  <si>
    <t>https://aws.amazon.com/about-aws/whats-new/2026/10/amazon-s3-server-access-logs-cloudwatch-logs-regions/</t>
  </si>
  <si>
    <t>Update existing rule</t>
  </si>
  <si>
    <t>Extends S3 server access logging destinations; affects CIS 4.4 logging rule (cloudtrail_logs_s3_bucket_access_logging_enabled).</t>
  </si>
  <si>
    <t>T-040</t>
  </si>
  <si>
    <t>Amazon SageMaker AI now supports custom sequence lengths for serverless model customization jobs</t>
  </si>
  <si>
    <t>https://aws.amazon.com/about-aws/whats-new/2026/10/sagemaker-custom-sequence-lengths/</t>
  </si>
  <si>
    <t>T-041</t>
  </si>
  <si>
    <t>AWS Transform now builds new networks and modernizes security groups</t>
  </si>
  <si>
    <t>https://aws.amazon.com/about-aws/whats-new/2026/10/aws-transform-new-networks/</t>
  </si>
  <si>
    <t>T-042</t>
  </si>
  <si>
    <t>AWS Network Firewall now supports Route 53 Resolved IP Validation</t>
  </si>
  <si>
    <t>https://aws.amazon.com/about-aws/whats-new/2026/10/network-firewall-route-53-ip-validation/</t>
  </si>
  <si>
    <t>New Network Firewall protection; possible 'feature enabled' check.</t>
  </si>
  <si>
    <t>T-043</t>
  </si>
  <si>
    <t>20 Oct 2026</t>
  </si>
  <si>
    <t>Announcing Amazon ECS Gateway, a managed ingress solution for your ECS services</t>
  </si>
  <si>
    <t>https://aws.amazon.com/about-aws/whats-new/2026/10/announcing-amazon-ecs-gateway/</t>
  </si>
  <si>
    <t>New managed ingress service = new internet-exposure surface.</t>
  </si>
  <si>
    <t>T-044</t>
  </si>
  <si>
    <t>Amazon DynamoDB global tables now support disassociating replicas</t>
  </si>
  <si>
    <t>https://aws.amazon.com/about-aws/whats-new/2026/10/dynamodb-global-tables-disassociate/</t>
  </si>
  <si>
    <t>T-045</t>
  </si>
  <si>
    <t>Amazon WorkSpaces simplifies secure AI agent access to enterprise cloud desktops with less infrastructure to operate and manage</t>
  </si>
  <si>
    <t>https://aws.amazon.com/about-aws/whats-new/2026/10/workspaces-ai-agents-oauth-connection-management</t>
  </si>
  <si>
    <t>New OAuth-based agent access path to desktops; check access configuration.</t>
  </si>
  <si>
    <t>T-046</t>
  </si>
  <si>
    <t>Polly Generative engine upgraded with more natural speech, 14 new voices, and 2 new languages</t>
  </si>
  <si>
    <t>https://aws.amazon.com/about-aws/whats-new/2026/10/polly-generative/</t>
  </si>
  <si>
    <t>T-047</t>
  </si>
  <si>
    <t>AWS announces TorchNeuron: Native PyTorch Support for AWS Trainium (Public Beta)</t>
  </si>
  <si>
    <t>https://aws.amazon.com/about-aws/whats-new/2026/10/aws-announce-native-pytorch-support-trainium</t>
  </si>
  <si>
    <t>T-048</t>
  </si>
  <si>
    <t>Structured outputs for Claude models available on Amazon Bedrock</t>
  </si>
  <si>
    <t>https://aws.amazon.com/about-aws/whats-new/2026/10/claude-structured-outputs-bedrock/</t>
  </si>
  <si>
    <t>T-049</t>
  </si>
  <si>
    <t>AWS Clean Rooms now supports Databricks as a data source</t>
  </si>
  <si>
    <t>https://aws.amazon.com/about-aws/whats-new/2026/10/aws-clean-rooms-supports-databricks</t>
  </si>
  <si>
    <t>T-050</t>
  </si>
  <si>
    <t>Amazon Bedrock Guardrails now supports Standard tier for contextual grounding checks</t>
  </si>
  <si>
    <t>https://aws.amazon.com/about-aws/whats-new/2026/10/bedrock-guardrails-grounding-standard/</t>
  </si>
  <si>
    <t>T-051</t>
  </si>
  <si>
    <t>AWS Partner Central launches Program Navigator, Case Study Generator, and streamlined specialization review</t>
  </si>
  <si>
    <t>https://aws.amazon.com/about-aws/whats-new/2026/10/partner-central-program-navigator/</t>
  </si>
  <si>
    <t>T-052</t>
  </si>
  <si>
    <t>AWS IAM Identity Center simplifies identity source changes from Active Directory</t>
  </si>
  <si>
    <t>https://aws.amazon.com/about-aws/whats-new/2026/10/iam-identity-center-chg-id-src-from-ad/</t>
  </si>
  <si>
    <t>T-053</t>
  </si>
  <si>
    <t>Amazon Bedrock Advanced Prompt Optimization now supports prompt shortening</t>
  </si>
  <si>
    <t>https://aws.amazon.com/about-aws/whats-new/2026/10/bedrock-prompt-optimization-shortening/</t>
  </si>
  <si>
    <t>T-054</t>
  </si>
  <si>
    <t>AWS Transform for migrations expands support for existing landing zones</t>
  </si>
  <si>
    <t>https://aws.amazon.com/about-aws/whats-new/2026/10/aws-transform-migrations-landing-zones/</t>
  </si>
  <si>
    <t>T-055</t>
  </si>
  <si>
    <t>Amazon CloudWatch Alarms now supports tags in alarm actions payload</t>
  </si>
  <si>
    <t>https://aws.amazon.com/about-aws/whats-new/2026/10/amazon-cloudwatch-tags-on-alarm-actions-payload</t>
  </si>
  <si>
    <t>T-056</t>
  </si>
  <si>
    <t>Amazon ElastiCache Serverless for Valkey now supports online migration with zero downtime</t>
  </si>
  <si>
    <t>https://aws.amazon.com/about-aws/whats-new/2026/10/amazon-elasticache-serverless-valkey-online-migration/</t>
  </si>
  <si>
    <t>T-057</t>
  </si>
  <si>
    <t>19 Oct 2026</t>
  </si>
  <si>
    <t>Amazon Connect Customer Global Resiliency now provides business users visibility into resiliency readiness across linked Regions</t>
  </si>
  <si>
    <t>https://aws.amazon.com/about-aws/whats-new/2026/10/amazon-connect-global-resiliency-readiness-overview</t>
  </si>
  <si>
    <t>T-058</t>
  </si>
  <si>
    <t>Amazon CloudWatch Omni is now available in additional AWS Regions</t>
  </si>
  <si>
    <t>https://aws.amazon.com/about-aws/whats-new/2026/10/amazon-cloudwatch-omni-8-regions/</t>
  </si>
  <si>
    <t>T-059</t>
  </si>
  <si>
    <t>EC2 Image Builder now integrates with ASG for faster image builds</t>
  </si>
  <si>
    <t>https://aws.amazon.com/about-aws/whats-new/2026/10/ec2-image-builder-asg-faster-builds/</t>
  </si>
  <si>
    <t>T-060</t>
  </si>
  <si>
    <t>Amazon GuardDuty adds optional threat detection rules for Runtime Monitoring</t>
  </si>
  <si>
    <t>https://aws.amazon.com/about-aws/whats-new/2026/10/guardduty-runtime-optional-detection-rules/</t>
  </si>
  <si>
    <t>New optional GuardDuty detections; 'enabled' style check (like securityhub_enabled).</t>
  </si>
  <si>
    <t>T-061</t>
  </si>
  <si>
    <t>Grok 4.7 is now available on Amazon Bedrock in AWS GovCloud (US)</t>
  </si>
  <si>
    <t>https://aws.amazon.com/about-aws/whats-new/2026/10/amazon-bedrock-grok-4-7-govcloud/</t>
  </si>
  <si>
    <t>T-062</t>
  </si>
  <si>
    <t>AWS IAM Identity Center now supports optimistic locking for users and groups in its identity store</t>
  </si>
  <si>
    <t>https://aws.amazon.com/about-aws/whats-new/2026/10/iam-identity-store-optimistic-locking/</t>
  </si>
  <si>
    <t>T-063</t>
  </si>
  <si>
    <t>AWS Elemental MediaConnect Router now supports high bitrate mode</t>
  </si>
  <si>
    <t>https://aws.amazon.com/about-aws/whats-new/2026/10/mediaconnect-router-high-bitrate/</t>
  </si>
  <si>
    <t>T-064</t>
  </si>
  <si>
    <t>Amazon RDS Custom now supports the latest Cumulative Update and GDR updates for Microsoft SQL Server</t>
  </si>
  <si>
    <t>https://aws.amazon.com/about-aws/whats-new/2026/10/amazon-rds-custom-supports-latest-cumulative-update-gdr-microsoft-sql-server/</t>
  </si>
  <si>
    <t>T-065</t>
  </si>
  <si>
    <t>Amazon RDS for SQL Server now supports snapshots on read replicas</t>
  </si>
  <si>
    <t>https://aws.amazon.com/about-aws/whats-new/2026/10/rds-sqlserver-supports-snapshots-on-read-replicas</t>
  </si>
  <si>
    <t>T-066</t>
  </si>
  <si>
    <t>17 Oct 2026</t>
  </si>
  <si>
    <t>AWS Partner Central adds Solution Matching Engine performance insights</t>
  </si>
  <si>
    <t>https://aws.amazon.com/about-aws/whats-new/2026/10/solution-matching-engine-performance</t>
  </si>
  <si>
    <t>T-067</t>
  </si>
  <si>
    <t>16 Oct 2026</t>
  </si>
  <si>
    <t>Amazon CloudWatch log centralization now available in AWS GovCloud and additional commercial Regions</t>
  </si>
  <si>
    <t>https://aws.amazon.com/about-aws/whats-new/2026/10/amazon-cloudwatch-centralization-region-expansion</t>
  </si>
  <si>
    <t>T-068</t>
  </si>
  <si>
    <t>Amazon EMR Serverless now supports IPv6 and dual-stack connectivity</t>
  </si>
  <si>
    <t>https://aws.amazon.com/about-aws/whats-new/2026/10/amazon-emr-serverless/</t>
  </si>
  <si>
    <t>IPv6/dual-stack support; ::/0 exposure analogue of CIS 6.4.</t>
  </si>
  <si>
    <t>T-069</t>
  </si>
  <si>
    <t>AWS Lambda durable functions are now available in AWS GovCloud (US) Regions</t>
  </si>
  <si>
    <t>https://aws.amazon.com/about-aws/whats-new/2026/10/durablefunctions-govcloud/</t>
  </si>
  <si>
    <t>T-070</t>
  </si>
  <si>
    <t>Nemotron 3.5 Super VL model now available on Amazon SageMaker JumpStart</t>
  </si>
  <si>
    <t>https://aws.amazon.com/about-aws/whats-new/2026/01/nvidia-nemotron-3.5-super-vl-on-sagemaker-jumpstart/</t>
  </si>
  <si>
    <t>T-071</t>
  </si>
  <si>
    <t>AWS Transform announces Azure-to-AWS cloud-native code conversion</t>
  </si>
  <si>
    <t>https://aws.amazon.com/about-aws/whats-new/2026/10/aws-transform-azure-to-aws-code-conversion/</t>
  </si>
  <si>
    <t>T-072</t>
  </si>
  <si>
    <t>Amazon Braket now in scope for FedRAMP Class C</t>
  </si>
  <si>
    <t>https://aws.amazon.com/about-aws/whats-new/2026/10/braket-fedramp-class-c/</t>
  </si>
  <si>
    <t>Compliance mapping update</t>
  </si>
  <si>
    <t>FedRAMP scope change; update compliance metadata, no new detection.</t>
  </si>
  <si>
    <t>T-073</t>
  </si>
  <si>
    <t>Second-generation AWS Outposts racks now supported in the AWS Mexico (Central) Region</t>
  </si>
  <si>
    <t>https://aws.amazon.com/about-aws/whats-new/2026/10/aws-outposts-racks-mexico-central/</t>
  </si>
  <si>
    <t>T-074</t>
  </si>
  <si>
    <t>AWS End User Messaging adds registration improvements for faster, higher-quality submissions</t>
  </si>
  <si>
    <t>https://aws.amazon.com/about-aws/whats-new/2026/10/aws-end-user-messaging-adds-registration-improvements-for-faster-higher-quality-submissions</t>
  </si>
  <si>
    <t>T-075</t>
  </si>
  <si>
    <t>AWS End User Messaging now supports Brand Profiles</t>
  </si>
  <si>
    <t>https://aws.amazon.com/about-aws/whats-new/2026/10/aws-end-user-messaging-now-supports-brand-profiles</t>
  </si>
  <si>
    <t>T-076</t>
  </si>
  <si>
    <t>AWS End User Messaging adds a guided wizard for RCS registration videos</t>
  </si>
  <si>
    <t>https://aws.amazon.com/about-aws/whats-new/2026/10/aws-end-user-messaging-adds-guided-wizard-rcs-registration-videos</t>
  </si>
  <si>
    <t>T-077</t>
  </si>
  <si>
    <t>AWS End User Messaging now offers managed OTP verification end-to-end</t>
  </si>
  <si>
    <t>https://aws.amazon.com/about-aws/whats-new/2026/10/aws-end-user-messaging-adds-end-to-end-managed-OTP</t>
  </si>
  <si>
    <t>T-078</t>
  </si>
  <si>
    <t>15 Oct 2026</t>
  </si>
  <si>
    <t>Web Search on Amazon Bedrock AgentCore expands to AWS GovCloud and 3 Regions</t>
  </si>
  <si>
    <t>https://aws.amazon.com/about-aws/whats-new/2026/10/amazon-bedrock-agentcore/</t>
  </si>
  <si>
    <t>T-079</t>
  </si>
  <si>
    <t>Amazon SageMaker Studio simplifies getting started for new AI/ML builders with new sign-in options</t>
  </si>
  <si>
    <t>https://aws.amazon.com/about-aws/whats-new/2026/10/sagemaker-studio-new-sign-in-options/</t>
  </si>
  <si>
    <t>T-080</t>
  </si>
  <si>
    <t>Amazon EC2 T8i instances are now available in South America (São Paulo)</t>
  </si>
  <si>
    <t>https://aws.amazon.com/about-aws/whats-new/2026/10/ec2-t8i-instances-south-america/</t>
  </si>
  <si>
    <t>T-081</t>
  </si>
  <si>
    <t>AWS Transform for migrations is now available in Asia Pacific (Singapore)</t>
  </si>
  <si>
    <t>https://aws.amazon.com/about-aws/whats-new/2026/10/aws-transform-singapore</t>
  </si>
  <si>
    <t>T-082</t>
  </si>
  <si>
    <t>Amazon DynamoDB Streams now supports timestamp-based stream processing</t>
  </si>
  <si>
    <t>https://aws.amazon.com/about-aws/whats-new/2026/10/amazon-dynamodb-streams-timestamp-processing</t>
  </si>
  <si>
    <t>T-083</t>
  </si>
  <si>
    <t>AWS Lambda Durable Execution SDK for Go is now generally available</t>
  </si>
  <si>
    <t>https://aws.amazon.com/about-aws/whats-new/2026/10/aws-lambda-durable-go-sdk-support/</t>
  </si>
  <si>
    <t>T-084</t>
  </si>
  <si>
    <t>Muse Spark Open model now available on Amazon SageMaker JumpStart</t>
  </si>
  <si>
    <t>https://aws.amazon.com/about-aws/whats-new/2026/01/muse-spark-open-on-sagemaker-jumpstart/</t>
  </si>
  <si>
    <t>T-085</t>
  </si>
  <si>
    <t>AWS HealthOmics now supports shared VPCs</t>
  </si>
  <si>
    <t>https://aws.amazon.com/about-aws/whats-new/2026/10/omics-workflows-shared-vpcs/</t>
  </si>
  <si>
    <t>T-086</t>
  </si>
  <si>
    <t>Amazon Time Sync Service adds support for microsecond-accurate time on 135 additional EC2 instance types in all commercial regions</t>
  </si>
  <si>
    <t>https://aws.amazon.com/about-aws/whats-new/2026/10/time-sync-additional-instances-all-regions</t>
  </si>
  <si>
    <t>T-087</t>
  </si>
  <si>
    <t>AWS Transform for full-stack Windows modernization now supports Aurora PostgreSQL cross-region deployment in 7 more Regions</t>
  </si>
  <si>
    <t>https://aws.amazon.com/about-aws/whats-new/2026/10/aws-transform-full-stack-aurora-cross-region</t>
  </si>
  <si>
    <t>T-088</t>
  </si>
  <si>
    <t>Amazon MSK Connect and AWS Glue Schema Registry are now available in the AWS European Sovereign Cloud (Germany) region</t>
  </si>
  <si>
    <t>https://aws.amazon.com/about-aws/whats-new/2026/10/amazon-msk-connect-aws-gsr-additional-aws-regions</t>
  </si>
  <si>
    <t>T-089</t>
  </si>
  <si>
    <t>PostgreSQL 19 RC1 is now available in Amazon RDS Database Preview Environment</t>
  </si>
  <si>
    <t>https://aws.amazon.com/about-aws/whats-new/2026/10/postgresql-19-rc1-amazon-rds-database-preview-environment/</t>
  </si>
  <si>
    <t>T-090</t>
  </si>
  <si>
    <t>Amazon CloudFront announces dual-stack support for VPC origins</t>
  </si>
  <si>
    <t>https://aws.amazon.com/about-aws/whats-new/2026/10/cloudfront-vpc-origin-dualstack/</t>
  </si>
  <si>
    <t>Dual-stack VPC origins; IPv6 exposure path.</t>
  </si>
  <si>
    <t>T-091</t>
  </si>
  <si>
    <t>Amazon Redshift long-term system table retention with Amazon S3 Tables is now available in additional AWS Regions</t>
  </si>
  <si>
    <t>https://aws.amazon.com/about-aws/whats-new/2026/10/redshift-long-term-system-table-retention-expansion/</t>
  </si>
  <si>
    <t>T-092</t>
  </si>
  <si>
    <t>Amazon S3 Metadata now available in six additional AWS Regions</t>
  </si>
  <si>
    <t>https://aws.amazon.com/about-aws/whats-new/2026/10/amazon-s3-metadata-six-additional-regions/</t>
  </si>
  <si>
    <t>T-093</t>
  </si>
  <si>
    <t>Amazon Managed Workflows for Apache Airflow now offers AI agent skills</t>
  </si>
  <si>
    <t>https://aws.amazon.com/about-aws/whats-new/2026/10/amazon-mwaa-ai-agent-skills/</t>
  </si>
  <si>
    <t>T-094</t>
  </si>
  <si>
    <t>AWS Security Hub CSPM now supports the Cyber Risk Institute profile version 2.2</t>
  </si>
  <si>
    <t>https://aws.amazon.com/about-aws/whats-new/2026/10/security-hub-cspm-cri-profile-v22/</t>
  </si>
  <si>
    <t>New compliance profile in Security Hub; update framework mappings, no new detection.</t>
  </si>
  <si>
    <t>T-095</t>
  </si>
  <si>
    <t>Amazon Managed Service for Prometheus Collector now available in Asia Pacific (New Zealand) Region</t>
  </si>
  <si>
    <t>https://aws.amazon.com/about-aws/whats-new/2026/10/ams-prometheus-collector-apac-nz/</t>
  </si>
  <si>
    <t>T-096</t>
  </si>
  <si>
    <t>Oracle Database@AWS supports aggregate and default routes for ODB peering</t>
  </si>
  <si>
    <t>https://aws.amazon.com/about-aws/whats-new/2026/10/oracle-database-aws-aggregate-routes-odb/</t>
  </si>
  <si>
    <t>T-097</t>
  </si>
  <si>
    <t>Launch AWS DevOps Agent to review findings and test results from AWS Resilience Hub</t>
  </si>
  <si>
    <t>https://aws.amazon.com/about-aws/whats-new/2026/10/aws-devops-agent-test-results-aws-resilience-hub/</t>
  </si>
  <si>
    <t>T-098</t>
  </si>
  <si>
    <t>14 Oct 2026</t>
  </si>
  <si>
    <t>Amazon CloudWatch announces log routing and chained log parsers</t>
  </si>
  <si>
    <t>https://aws.amazon.com/about-aws/whats-new/2026/10/cloudwatch-pipelines-log-routing/</t>
  </si>
  <si>
    <t>T-099</t>
  </si>
  <si>
    <t>AWS HealthOmics expands container registry support for private workflows</t>
  </si>
  <si>
    <t>https://aws.amazon.com/about-aws/whats-new/2026/10/aws-healthomics-expanded-container-registry-support/</t>
  </si>
  <si>
    <t>T-100</t>
  </si>
  <si>
    <t>AWS Lambda recursive loop detection now supports Amazon EventBridge Custom event buses</t>
  </si>
  <si>
    <t>https://aws.amazon.com/about-aws/whats-new/2026/10/lambda-recursive-loops-eventbridge-custom</t>
  </si>
  <si>
    <t>Drift_ID</t>
  </si>
  <si>
    <t>Change_Type</t>
  </si>
  <si>
    <t>CIS v6.0 ID</t>
  </si>
  <si>
    <t>CIS v6.0 Title</t>
  </si>
  <si>
    <t>CIS v7.0 ID</t>
  </si>
  <si>
    <t>CIS v7.0 Title</t>
  </si>
  <si>
    <t>Reference checks</t>
  </si>
  <si>
    <t>Expected maintenance action</t>
  </si>
  <si>
    <t>V-001</t>
  </si>
  <si>
    <t>Reworded / renumbered</t>
  </si>
  <si>
    <t>2.1</t>
  </si>
  <si>
    <t>Maintain current contact details</t>
  </si>
  <si>
    <t>Keep rule; update CIS ID and title in rule metadata and on customer findings.</t>
  </si>
  <si>
    <t>V-002</t>
  </si>
  <si>
    <t>Removed in v7.0</t>
  </si>
  <si>
    <t>Do not create access keys during initial setup for IAM users with a console password</t>
  </si>
  <si>
    <t>iam_user_no_setup_initial_access_key</t>
  </si>
  <si>
    <t>Do not delete rule automatically; re-map to other frameworks or mark 'not in CIS v7.0'. SME decision.</t>
  </si>
  <si>
    <t>V-003</t>
  </si>
  <si>
    <t>Ensure there is only one active access key for any single IAM user</t>
  </si>
  <si>
    <t>iam_user_two_active_access_key</t>
  </si>
  <si>
    <t>V-004</t>
  </si>
  <si>
    <t>Ensure IAM policies that allow full *:* administrative privileges are not attached</t>
  </si>
  <si>
    <t>iam_aws_attached_policy_no_administrative_privileges, iam_customer_attached_policy_no_administrative_privileges</t>
  </si>
  <si>
    <t>V-005</t>
  </si>
  <si>
    <t>Ensure routing tables for VPC peering are least access</t>
  </si>
  <si>
    <t>V-006</t>
  </si>
  <si>
    <t>Added in v7.0</t>
  </si>
  <si>
    <t>Map existing rule(s) to new recommendation.</t>
  </si>
  <si>
    <t>V-007</t>
  </si>
  <si>
    <t>No reference check exists: candidate for NEW rule or manual control.</t>
  </si>
  <si>
    <t>V-008</t>
  </si>
  <si>
    <t>V-009</t>
  </si>
  <si>
    <t>V-010</t>
  </si>
  <si>
    <t>V-011</t>
  </si>
  <si>
    <t>V-012</t>
  </si>
  <si>
    <t>s3_bucket_policy_public_write_access, sqs_queues_not_publicly_accessible, sns_topics_not_publicly_accessible, awslambda_function_not_publicly_accessible, kms_key_not_publicly_accessible, glacier_vaults_policy_public_access, secretsmanager_not_publicly_accessible, eventbridge_bus_exposed</t>
  </si>
  <si>
    <t>V-013</t>
  </si>
  <si>
    <t>cloudfront_distributions_logging_enabled, elbv2_logging_enabled, apigateway_restapi_logging_enabled, apigatewayv2_api_access_logging_enabled</t>
  </si>
  <si>
    <t>V-014</t>
  </si>
  <si>
    <t>V-015</t>
  </si>
  <si>
    <t>Renumbered</t>
  </si>
  <si>
    <t>Update CIS ID in rule metadata.</t>
  </si>
  <si>
    <t>V-016</t>
  </si>
  <si>
    <t>V-017</t>
  </si>
  <si>
    <t>V-018</t>
  </si>
  <si>
    <t>V-019</t>
  </si>
  <si>
    <t>V-020</t>
  </si>
  <si>
    <t>V-021</t>
  </si>
  <si>
    <t>V-022</t>
  </si>
  <si>
    <t>V-023</t>
  </si>
  <si>
    <t>V-024</t>
  </si>
  <si>
    <t>V-025</t>
  </si>
  <si>
    <t>V-026</t>
  </si>
  <si>
    <t>V-027</t>
  </si>
  <si>
    <t>V-028</t>
  </si>
  <si>
    <t>V-029</t>
  </si>
  <si>
    <t>V-030</t>
  </si>
  <si>
    <t>V-031</t>
  </si>
  <si>
    <t>Check mapping changed</t>
  </si>
  <si>
    <t>v6: ec2_ebs_volume_encryption | v7: ec2_ebs_default_encryption</t>
  </si>
  <si>
    <t>Re-map rules to recommendation; verify coverage.</t>
  </si>
  <si>
    <t>Eval Scorecard: fill the yellow cells after running your pipeline on each golden row</t>
  </si>
  <si>
    <t>Legend: yellow = your input (1 = yes / correct, 0 = no). Expected values are pulled from Positive_Set by formula. Example of a filled row: P-001 | Severity predicted 'medium' | Citation 1 | Logic 1 | Compliant test passes 1 | Non-compliant test fails 1.</t>
  </si>
  <si>
    <t>Predicted_Severity [INPUT]</t>
  </si>
  <si>
    <t>Severity_Match</t>
  </si>
  <si>
    <t>Citation_Correct (1/0) [INPUT]</t>
  </si>
  <si>
    <t>Logic_Equivalent (1/0) [INPUT]</t>
  </si>
  <si>
    <t>Compliant_Fixture_PASS (1/0) [INPUT]</t>
  </si>
  <si>
    <t>NonCompliant_Fixture_FAIL (1/0) [INPUT]</t>
  </si>
  <si>
    <t>Rule_Correct (all gates)</t>
  </si>
  <si>
    <t>SME_Review_Minutes [INPUT]</t>
  </si>
  <si>
    <t>SUMMARY (Positive_Set)</t>
  </si>
  <si>
    <t>Rows in golden set</t>
  </si>
  <si>
    <t>Rows scored</t>
  </si>
  <si>
    <t>Rule accuracy (all gates passed)</t>
  </si>
  <si>
    <t>Severity accuracy</t>
  </si>
  <si>
    <t>Citation accuracy (target 100%)</t>
  </si>
  <si>
    <t>Avg SME review minutes</t>
  </si>
  <si>
    <t>SUMMARY (Triage_Set: 'needs rule' class)</t>
  </si>
  <si>
    <t>True positives</t>
  </si>
  <si>
    <t>False positives</t>
  </si>
  <si>
    <t>False negatives</t>
  </si>
  <si>
    <t>Precision</t>
  </si>
  <si>
    <t>Recall</t>
  </si>
  <si>
    <t>Source</t>
  </si>
  <si>
    <t>Prowler CIS v7.0 AWS mapping</t>
  </si>
  <si>
    <t>https://github.com/prowler-cloud/prowler/blob/master/prowler/compliance/aws/cis_7.0_aws.json</t>
  </si>
  <si>
    <t>Prowler CIS v6.0 AWS mapping</t>
  </si>
  <si>
    <t>https://github.com/prowler-cloud/prowler/blob/master/prowler/compliance/aws/cis_6.0_aws.json</t>
  </si>
  <si>
    <t>Prowler AWS checks (metadata + code)</t>
  </si>
  <si>
    <t>https://github.com/prowler-cloud/prowler/tree/master/prowler/providers/aws/services</t>
  </si>
  <si>
    <t>Prowler licence (Apache-2.0)</t>
  </si>
  <si>
    <t>https://github.com/prowler-cloud/prowler/blob/master/LICENSE</t>
  </si>
  <si>
    <t>CIS AWS Foundations Benchmark (free PDF download)</t>
  </si>
  <si>
    <t>https://www.cisecurity.org/benchmark/amazon_web_services</t>
  </si>
  <si>
    <t>CIS Benchmarks April 2026 update (v7.0.0 release)</t>
  </si>
  <si>
    <t>https://www.cisecurity.org/insights/blog/cis-benchmarks-april-2026-update</t>
  </si>
  <si>
    <t>AWS What's New RSS feed (retrieved 27 Oct 2026)</t>
  </si>
  <si>
    <t>https://aws.amazon.com/about-aws/whats-new/recent/feed/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</si>
</sst>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name val="Arial"/>
    </font>
    <font>
      <sz val="10"/>
      <name val="Arial"/>
    </font>
    <font>
      <b/>
      <sz val="10"/>
      <color rgb="FFFFFFFF"/>
      <name val="Arial"/>
    </font>
    <font>
      <sz val="9"/>
      <name val="Arial"/>
    </font>
    <font>
      <u/>
      <sz val="9"/>
      <color rgb="FF0563C1"/>
      <name val="Arial"/>
    </font>
    <font>
      <sz val="9"/>
      <color rgb="FF0000FF"/>
      <name val="Arial"/>
    </font>
    <font>
      <b/>
      <sz val="12"/>
      <name val="Arial"/>
    </font>
    <font>
      <i/>
      <sz val="9"/>
      <name val="Arial"/>
    </font>
    <font>
      <b/>
      <sz val="10"/>
      <name val="Arial"/>
    </font>
  </fonts>
  <fills count="4">
    <fill>
      <patternFill patternType="none"/>
    </fill>
    <fill>
      <patternFill patternType="gray125"/>
    </fill>
    <fill>
      <patternFill patternType="solid">
        <fgColor rgb="FF1F3864"/>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xf numFmtId="0" fontId="9" fillId="0" borderId="0" xfId="0" applyFont="1"/>
    <xf numFmtId="0" fontId="8"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3" borderId="1" xfId="0" applyFont="1" applyFill="1" applyBorder="1" applyAlignment="1">
      <alignment vertical="top" wrapText="1"/>
    </xf>
    <xf numFmtId="0" fontId="7" fillId="0" borderId="0" xfId="0" applyFont="1"/>
    <xf numFmtId="0" fontId="4" fillId="0" borderId="1" xfId="0" applyFont="1" applyBorder="1"/>
    <xf numFmtId="0" fontId="6" fillId="3" borderId="1" xfId="0" applyFont="1" applyFill="1" applyBorder="1"/>
    <xf numFmtId="0" fontId="9" fillId="0" borderId="1" xfId="0" applyFont="1" applyBorder="1"/>
    <xf numFmtId="164" fontId="9" fillId="0" borderId="1" xfId="0" applyNumberFormat="1" applyFont="1" applyBorder="1"/>
    <xf numFmtId="0" fontId="8"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github.com/prowler-cloud/prowler/blob/master/prowler/providers/aws/services/sqs/sqs_queues_not_publicly_accessible/sqs_queues_not_publicly_accessible.py" TargetMode="External"/><Relationship Id="rId21" Type="http://schemas.openxmlformats.org/officeDocument/2006/relationships/hyperlink" Target="https://github.com/prowler-cloud/prowler/blob/master/prowler/providers/aws/services/iam/iam_no_expired_server_certificates_stored/iam_no_expired_server_certificates_stored.py" TargetMode="External"/><Relationship Id="rId42" Type="http://schemas.openxmlformats.org/officeDocument/2006/relationships/hyperlink" Target="https://github.com/prowler-cloud/prowler/blob/master/prowler/providers/aws/services/rds/rds_instance_multi_az/rds_instance_multi_az.py" TargetMode="External"/><Relationship Id="rId47" Type="http://schemas.openxmlformats.org/officeDocument/2006/relationships/hyperlink" Target="https://github.com/prowler-cloud/prowler/blob/master/prowler/providers/aws/services/cloudtrail/cloudtrail_logs_s3_bucket_access_logging_enabled/cloudtrail_logs_s3_bucket_access_logging_enabled.py" TargetMode="External"/><Relationship Id="rId63" Type="http://schemas.openxmlformats.org/officeDocument/2006/relationships/hyperlink" Target="https://github.com/prowler-cloud/prowler/blob/master/prowler/providers/aws/services/cloudwatch/cloudwatch_log_metric_filter_disable_or_scheduled_deletion_of_kms_cmk/cloudwatch_log_metric_filter_disable_or_scheduled_deletion_of_kms_cmk.py" TargetMode="External"/><Relationship Id="rId68" Type="http://schemas.openxmlformats.org/officeDocument/2006/relationships/hyperlink" Target="https://github.com/prowler-cloud/prowler/blob/master/prowler/providers/aws/services/cloudwatch/cloudwatch_changes_to_network_gateways_alarm_configured/cloudwatch_changes_to_network_gateways_alarm_configured.py" TargetMode="External"/><Relationship Id="rId84" Type="http://schemas.openxmlformats.org/officeDocument/2006/relationships/hyperlink" Target="https://github.com/prowler-cloud/prowler/blob/master/prowler/providers/aws/services/ec2/ec2_securitygroup_default_restrict_traffic/ec2_securitygroup_default_restrict_traffic.py" TargetMode="External"/><Relationship Id="rId16" Type="http://schemas.openxmlformats.org/officeDocument/2006/relationships/hyperlink" Target="https://github.com/prowler-cloud/prowler/blob/master/prowler/providers/aws/services/iam/iam_policy_attached_only_to_group_or_roles/iam_policy_attached_only_to_group_or_roles.py" TargetMode="External"/><Relationship Id="rId11" Type="http://schemas.openxmlformats.org/officeDocument/2006/relationships/hyperlink" Target="https://github.com/prowler-cloud/prowler/blob/master/prowler/providers/aws/services/iam/iam_password_policy_reuse_24/iam_password_policy_reuse_24.py" TargetMode="External"/><Relationship Id="rId32" Type="http://schemas.openxmlformats.org/officeDocument/2006/relationships/hyperlink" Target="https://github.com/prowler-cloud/prowler/blob/master/prowler/providers/aws/services/eventbridge/eventbridge_bus_exposed/eventbridge_bus_exposed.py" TargetMode="External"/><Relationship Id="rId37" Type="http://schemas.openxmlformats.org/officeDocument/2006/relationships/hyperlink" Target="https://github.com/prowler-cloud/prowler/blob/master/prowler/providers/aws/services/s3/s3_account_level_public_access_blocks/s3_account_level_public_access_blocks.py" TargetMode="External"/><Relationship Id="rId53" Type="http://schemas.openxmlformats.org/officeDocument/2006/relationships/hyperlink" Target="https://github.com/prowler-cloud/prowler/blob/master/prowler/providers/aws/services/cloudfront/cloudfront_distributions_logging_enabled/cloudfront_distributions_logging_enabled.py" TargetMode="External"/><Relationship Id="rId58" Type="http://schemas.openxmlformats.org/officeDocument/2006/relationships/hyperlink" Target="https://github.com/prowler-cloud/prowler/blob/master/prowler/providers/aws/services/cloudwatch/cloudwatch_log_metric_filter_sign_in_without_mfa/cloudwatch_log_metric_filter_sign_in_without_mfa.py" TargetMode="External"/><Relationship Id="rId74" Type="http://schemas.openxmlformats.org/officeDocument/2006/relationships/hyperlink" Target="https://github.com/prowler-cloud/prowler/blob/master/prowler/providers/aws/services/ec2/ec2_instance_port_cifs_exposed_to_internet/ec2_instance_port_cifs_exposed_to_internet.py" TargetMode="External"/><Relationship Id="rId79" Type="http://schemas.openxmlformats.org/officeDocument/2006/relationships/hyperlink" Target="https://github.com/prowler-cloud/prowler/blob/master/prowler/providers/aws/services/ec2/ec2_securitygroup_allow_ingress_from_internet_to_tcp_port_22/ec2_securitygroup_allow_ingress_from_internet_to_tcp_port_22.py" TargetMode="External"/><Relationship Id="rId5" Type="http://schemas.openxmlformats.org/officeDocument/2006/relationships/hyperlink" Target="https://github.com/prowler-cloud/prowler/blob/master/prowler/providers/aws/services/account/account_security_contact_information_is_registered/account_security_contact_information_is_registered.py" TargetMode="External"/><Relationship Id="rId19" Type="http://schemas.openxmlformats.org/officeDocument/2006/relationships/hyperlink" Target="https://github.com/prowler-cloud/prowler/blob/master/prowler/providers/aws/services/iam/iam_support_role_created/iam_support_role_created.py" TargetMode="External"/><Relationship Id="rId14" Type="http://schemas.openxmlformats.org/officeDocument/2006/relationships/hyperlink" Target="https://github.com/prowler-cloud/prowler/blob/master/prowler/providers/aws/services/iam/iam_user_console_access_unused/iam_user_console_access_unused.py" TargetMode="External"/><Relationship Id="rId22" Type="http://schemas.openxmlformats.org/officeDocument/2006/relationships/hyperlink" Target="https://github.com/prowler-cloud/prowler/blob/master/prowler/providers/aws/services/accessanalyzer/accessanalyzer_enabled/accessanalyzer_enabled.py" TargetMode="External"/><Relationship Id="rId27" Type="http://schemas.openxmlformats.org/officeDocument/2006/relationships/hyperlink" Target="https://github.com/prowler-cloud/prowler/blob/master/prowler/providers/aws/services/sns/sns_topics_not_publicly_accessible/sns_topics_not_publicly_accessible.py" TargetMode="External"/><Relationship Id="rId30" Type="http://schemas.openxmlformats.org/officeDocument/2006/relationships/hyperlink" Target="https://github.com/prowler-cloud/prowler/blob/master/prowler/providers/aws/services/glacier/glacier_vaults_policy_public_access/glacier_vaults_policy_public_access.py" TargetMode="External"/><Relationship Id="rId35" Type="http://schemas.openxmlformats.org/officeDocument/2006/relationships/hyperlink" Target="https://github.com/prowler-cloud/prowler/blob/master/prowler/providers/aws/services/macie/macie_is_enabled/macie_is_enabled.py" TargetMode="External"/><Relationship Id="rId43" Type="http://schemas.openxmlformats.org/officeDocument/2006/relationships/hyperlink" Target="https://github.com/prowler-cloud/prowler/blob/master/prowler/providers/aws/services/efs/efs_encryption_at_rest_enabled/efs_encryption_at_rest_enabled.py" TargetMode="External"/><Relationship Id="rId48" Type="http://schemas.openxmlformats.org/officeDocument/2006/relationships/hyperlink" Target="https://github.com/prowler-cloud/prowler/blob/master/prowler/providers/aws/services/cloudtrail/cloudtrail_kms_encryption_enabled/cloudtrail_kms_encryption_enabled.py" TargetMode="External"/><Relationship Id="rId56" Type="http://schemas.openxmlformats.org/officeDocument/2006/relationships/hyperlink" Target="https://github.com/prowler-cloud/prowler/blob/master/prowler/providers/aws/services/apigatewayv2/apigatewayv2_api_access_logging_enabled/apigatewayv2_api_access_logging_enabled.py" TargetMode="External"/><Relationship Id="rId64" Type="http://schemas.openxmlformats.org/officeDocument/2006/relationships/hyperlink" Target="https://github.com/prowler-cloud/prowler/blob/master/prowler/providers/aws/services/cloudwatch/cloudwatch_log_metric_filter_for_s3_bucket_policy_changes/cloudwatch_log_metric_filter_for_s3_bucket_policy_changes.py" TargetMode="External"/><Relationship Id="rId69" Type="http://schemas.openxmlformats.org/officeDocument/2006/relationships/hyperlink" Target="https://github.com/prowler-cloud/prowler/blob/master/prowler/providers/aws/services/cloudwatch/cloudwatch_changes_to_network_route_tables_alarm_configured/cloudwatch_changes_to_network_route_tables_alarm_configured.py" TargetMode="External"/><Relationship Id="rId77" Type="http://schemas.openxmlformats.org/officeDocument/2006/relationships/hyperlink" Target="https://github.com/prowler-cloud/prowler/blob/master/prowler/providers/aws/services/ec2/ec2_networkacl_allow_ingress_tcp_port_3389/ec2_networkacl_allow_ingress_tcp_port_3389.py" TargetMode="External"/><Relationship Id="rId8" Type="http://schemas.openxmlformats.org/officeDocument/2006/relationships/hyperlink" Target="https://github.com/prowler-cloud/prowler/blob/master/prowler/providers/aws/services/iam/iam_root_hardware_mfa_enabled/iam_root_hardware_mfa_enabled.py" TargetMode="External"/><Relationship Id="rId51" Type="http://schemas.openxmlformats.org/officeDocument/2006/relationships/hyperlink" Target="https://github.com/prowler-cloud/prowler/blob/master/prowler/providers/aws/services/cloudtrail/cloudtrail_s3_dataevents_write_enabled/cloudtrail_s3_dataevents_write_enabled.py" TargetMode="External"/><Relationship Id="rId72" Type="http://schemas.openxmlformats.org/officeDocument/2006/relationships/hyperlink" Target="https://github.com/prowler-cloud/prowler/blob/master/prowler/providers/aws/services/securityhub/securityhub_enabled/securityhub_enabled.py" TargetMode="External"/><Relationship Id="rId80" Type="http://schemas.openxmlformats.org/officeDocument/2006/relationships/hyperlink" Target="https://github.com/prowler-cloud/prowler/blob/master/prowler/providers/aws/services/ec2/ec2_securitygroup_allow_ingress_from_internet_to_tcp_port_3389/ec2_securitygroup_allow_ingress_from_internet_to_tcp_port_3389.py" TargetMode="External"/><Relationship Id="rId85" Type="http://schemas.openxmlformats.org/officeDocument/2006/relationships/hyperlink" Target="https://github.com/prowler-cloud/prowler/blob/master/prowler/providers/aws/services/vpc/vpc_peering_routing_tables_with_least_privilege/vpc_peering_routing_tables_with_least_privilege.py" TargetMode="External"/><Relationship Id="rId3" Type="http://schemas.openxmlformats.org/officeDocument/2006/relationships/hyperlink" Target="https://github.com/prowler-cloud/prowler/blob/master/prowler/providers/aws/services/organizations/organizations_delegated_administrators/organizations_delegated_administrators.py" TargetMode="External"/><Relationship Id="rId12" Type="http://schemas.openxmlformats.org/officeDocument/2006/relationships/hyperlink" Target="https://github.com/prowler-cloud/prowler/blob/master/prowler/providers/aws/services/iam/iam_user_mfa_enabled_console_access/iam_user_mfa_enabled_console_access.py" TargetMode="External"/><Relationship Id="rId17" Type="http://schemas.openxmlformats.org/officeDocument/2006/relationships/hyperlink" Target="https://github.com/prowler-cloud/prowler/blob/master/prowler/providers/aws/services/iam/iam_aws_attached_policy_no_administrative_privileges/iam_aws_attached_policy_no_administrative_privileges.py" TargetMode="External"/><Relationship Id="rId25" Type="http://schemas.openxmlformats.org/officeDocument/2006/relationships/hyperlink" Target="https://github.com/prowler-cloud/prowler/blob/master/prowler/providers/aws/services/s3/s3_bucket_policy_public_write_access/s3_bucket_policy_public_write_access.py" TargetMode="External"/><Relationship Id="rId33" Type="http://schemas.openxmlformats.org/officeDocument/2006/relationships/hyperlink" Target="https://github.com/prowler-cloud/prowler/blob/master/prowler/providers/aws/services/s3/s3_bucket_secure_transport_policy/s3_bucket_secure_transport_policy.py" TargetMode="External"/><Relationship Id="rId38" Type="http://schemas.openxmlformats.org/officeDocument/2006/relationships/hyperlink" Target="https://github.com/prowler-cloud/prowler/blob/master/prowler/providers/aws/services/rds/rds_instance_storage_encrypted/rds_instance_storage_encrypted.py" TargetMode="External"/><Relationship Id="rId46" Type="http://schemas.openxmlformats.org/officeDocument/2006/relationships/hyperlink" Target="https://github.com/prowler-cloud/prowler/blob/master/prowler/providers/aws/services/config/config_recorder_all_regions_enabled/config_recorder_all_regions_enabled.py" TargetMode="External"/><Relationship Id="rId59" Type="http://schemas.openxmlformats.org/officeDocument/2006/relationships/hyperlink" Target="https://github.com/prowler-cloud/prowler/blob/master/prowler/providers/aws/services/cloudwatch/cloudwatch_log_metric_filter_root_usage/cloudwatch_log_metric_filter_root_usage.py" TargetMode="External"/><Relationship Id="rId67" Type="http://schemas.openxmlformats.org/officeDocument/2006/relationships/hyperlink" Target="https://github.com/prowler-cloud/prowler/blob/master/prowler/providers/aws/services/cloudwatch/cloudwatch_changes_to_network_acls_alarm_configured/cloudwatch_changes_to_network_acls_alarm_configured.py" TargetMode="External"/><Relationship Id="rId20" Type="http://schemas.openxmlformats.org/officeDocument/2006/relationships/hyperlink" Target="https://github.com/prowler-cloud/prowler/blob/master/prowler/providers/aws/services/ec2/ec2_instance_profile_attached/ec2_instance_profile_attached.py" TargetMode="External"/><Relationship Id="rId41" Type="http://schemas.openxmlformats.org/officeDocument/2006/relationships/hyperlink" Target="https://github.com/prowler-cloud/prowler/blob/master/prowler/providers/aws/services/rds/rds_cluster_multi_az/rds_cluster_multi_az.py" TargetMode="External"/><Relationship Id="rId54" Type="http://schemas.openxmlformats.org/officeDocument/2006/relationships/hyperlink" Target="https://github.com/prowler-cloud/prowler/blob/master/prowler/providers/aws/services/elbv2/elbv2_logging_enabled/elbv2_logging_enabled.py" TargetMode="External"/><Relationship Id="rId62" Type="http://schemas.openxmlformats.org/officeDocument/2006/relationships/hyperlink" Target="https://github.com/prowler-cloud/prowler/blob/master/prowler/providers/aws/services/cloudwatch/cloudwatch_log_metric_filter_authentication_failures/cloudwatch_log_metric_filter_authentication_failures.py" TargetMode="External"/><Relationship Id="rId70" Type="http://schemas.openxmlformats.org/officeDocument/2006/relationships/hyperlink" Target="https://github.com/prowler-cloud/prowler/blob/master/prowler/providers/aws/services/cloudwatch/cloudwatch_changes_to_vpcs_alarm_configured/cloudwatch_changes_to_vpcs_alarm_configured.py" TargetMode="External"/><Relationship Id="rId75" Type="http://schemas.openxmlformats.org/officeDocument/2006/relationships/hyperlink" Target="https://github.com/prowler-cloud/prowler/blob/master/prowler/providers/aws/services/ec2/ec2_networkacl_allow_ingress_any_port/ec2_networkacl_allow_ingress_any_port.py" TargetMode="External"/><Relationship Id="rId83" Type="http://schemas.openxmlformats.org/officeDocument/2006/relationships/hyperlink" Target="https://github.com/prowler-cloud/prowler/blob/master/prowler/providers/aws/services/ec2/ec2_securitygroup_allow_ingress_from_internet_to_tcp_port_3389/ec2_securitygroup_allow_ingress_from_internet_to_tcp_port_3389.py" TargetMode="External"/><Relationship Id="rId1" Type="http://schemas.openxmlformats.org/officeDocument/2006/relationships/hyperlink" Target="https://github.com/prowler-cloud/prowler/blob/master/prowler/providers/aws/services/iam/iam_root_credentials_management_enabled/iam_root_credentials_management_enabled.py" TargetMode="External"/><Relationship Id="rId6" Type="http://schemas.openxmlformats.org/officeDocument/2006/relationships/hyperlink" Target="https://github.com/prowler-cloud/prowler/blob/master/prowler/providers/aws/services/iam/iam_no_root_access_key/iam_no_root_access_key.py" TargetMode="External"/><Relationship Id="rId15" Type="http://schemas.openxmlformats.org/officeDocument/2006/relationships/hyperlink" Target="https://github.com/prowler-cloud/prowler/blob/master/prowler/providers/aws/services/iam/iam_rotate_access_key_90_days/iam_rotate_access_key_90_days.py" TargetMode="External"/><Relationship Id="rId23" Type="http://schemas.openxmlformats.org/officeDocument/2006/relationships/hyperlink" Target="https://github.com/prowler-cloud/prowler/blob/master/prowler/providers/aws/services/iam/iam_check_saml_providers_sts/iam_check_saml_providers_sts.py" TargetMode="External"/><Relationship Id="rId28" Type="http://schemas.openxmlformats.org/officeDocument/2006/relationships/hyperlink" Target="https://github.com/prowler-cloud/prowler/blob/master/prowler/providers/aws/services/awslambda/awslambda_function_not_publicly_accessible/awslambda_function_not_publicly_accessible.py" TargetMode="External"/><Relationship Id="rId36" Type="http://schemas.openxmlformats.org/officeDocument/2006/relationships/hyperlink" Target="https://github.com/prowler-cloud/prowler/blob/master/prowler/providers/aws/services/s3/s3_bucket_level_public_access_block/s3_bucket_level_public_access_block.py" TargetMode="External"/><Relationship Id="rId49" Type="http://schemas.openxmlformats.org/officeDocument/2006/relationships/hyperlink" Target="https://github.com/prowler-cloud/prowler/blob/master/prowler/providers/aws/services/kms/kms_cmk_rotation_enabled/kms_cmk_rotation_enabled.py" TargetMode="External"/><Relationship Id="rId57" Type="http://schemas.openxmlformats.org/officeDocument/2006/relationships/hyperlink" Target="https://github.com/prowler-cloud/prowler/blob/master/prowler/providers/aws/services/cloudwatch/cloudwatch_log_metric_filter_unauthorized_api_calls/cloudwatch_log_metric_filter_unauthorized_api_calls.py" TargetMode="External"/><Relationship Id="rId10" Type="http://schemas.openxmlformats.org/officeDocument/2006/relationships/hyperlink" Target="https://github.com/prowler-cloud/prowler/blob/master/prowler/providers/aws/services/iam/iam_password_policy_minimum_length_14/iam_password_policy_minimum_length_14.py" TargetMode="External"/><Relationship Id="rId31" Type="http://schemas.openxmlformats.org/officeDocument/2006/relationships/hyperlink" Target="https://github.com/prowler-cloud/prowler/blob/master/prowler/providers/aws/services/secretsmanager/secretsmanager_not_publicly_accessible/secretsmanager_not_publicly_accessible.py" TargetMode="External"/><Relationship Id="rId44" Type="http://schemas.openxmlformats.org/officeDocument/2006/relationships/hyperlink" Target="https://github.com/prowler-cloud/prowler/blob/master/prowler/providers/aws/services/cloudtrail/cloudtrail_multi_region_enabled/cloudtrail_multi_region_enabled.py" TargetMode="External"/><Relationship Id="rId52" Type="http://schemas.openxmlformats.org/officeDocument/2006/relationships/hyperlink" Target="https://github.com/prowler-cloud/prowler/blob/master/prowler/providers/aws/services/cloudtrail/cloudtrail_s3_dataevents_read_enabled/cloudtrail_s3_dataevents_read_enabled.py" TargetMode="External"/><Relationship Id="rId60" Type="http://schemas.openxmlformats.org/officeDocument/2006/relationships/hyperlink" Target="https://github.com/prowler-cloud/prowler/blob/master/prowler/providers/aws/services/cloudwatch/cloudwatch_log_metric_filter_policy_changes/cloudwatch_log_metric_filter_policy_changes.py" TargetMode="External"/><Relationship Id="rId65" Type="http://schemas.openxmlformats.org/officeDocument/2006/relationships/hyperlink" Target="https://github.com/prowler-cloud/prowler/blob/master/prowler/providers/aws/services/cloudwatch/cloudwatch_log_metric_filter_and_alarm_for_aws_config_configuration_changes_enabled/cloudwatch_log_metric_filter_and_alarm_for_aws_config_configuration_changes_enabled.py" TargetMode="External"/><Relationship Id="rId73" Type="http://schemas.openxmlformats.org/officeDocument/2006/relationships/hyperlink" Target="https://github.com/prowler-cloud/prowler/blob/master/prowler/providers/aws/services/ec2/ec2_ebs_default_encryption/ec2_ebs_default_encryption.py" TargetMode="External"/><Relationship Id="rId78" Type="http://schemas.openxmlformats.org/officeDocument/2006/relationships/hyperlink" Target="https://github.com/prowler-cloud/prowler/blob/master/prowler/providers/aws/services/ec2/ec2_securitygroup_allow_ingress_from_internet_to_all_ports/ec2_securitygroup_allow_ingress_from_internet_to_all_ports.py" TargetMode="External"/><Relationship Id="rId81" Type="http://schemas.openxmlformats.org/officeDocument/2006/relationships/hyperlink" Target="https://github.com/prowler-cloud/prowler/blob/master/prowler/providers/aws/services/ec2/ec2_securitygroup_allow_ingress_from_internet_to_all_ports/ec2_securitygroup_allow_ingress_from_internet_to_all_ports.py" TargetMode="External"/><Relationship Id="rId86" Type="http://schemas.openxmlformats.org/officeDocument/2006/relationships/hyperlink" Target="https://github.com/prowler-cloud/prowler/blob/master/prowler/providers/aws/services/ec2/ec2_instance_imdsv2_enabled/ec2_instance_imdsv2_enabled.py" TargetMode="External"/><Relationship Id="rId4" Type="http://schemas.openxmlformats.org/officeDocument/2006/relationships/hyperlink" Target="https://github.com/prowler-cloud/prowler/blob/master/prowler/providers/aws/services/account/account_maintain_current_contact_details/account_maintain_current_contact_details.py" TargetMode="External"/><Relationship Id="rId9" Type="http://schemas.openxmlformats.org/officeDocument/2006/relationships/hyperlink" Target="https://github.com/prowler-cloud/prowler/blob/master/prowler/providers/aws/services/iam/iam_avoid_root_usage/iam_avoid_root_usage.py" TargetMode="External"/><Relationship Id="rId13" Type="http://schemas.openxmlformats.org/officeDocument/2006/relationships/hyperlink" Target="https://github.com/prowler-cloud/prowler/blob/master/prowler/providers/aws/services/iam/iam_user_accesskey_unused/iam_user_accesskey_unused.py" TargetMode="External"/><Relationship Id="rId18" Type="http://schemas.openxmlformats.org/officeDocument/2006/relationships/hyperlink" Target="https://github.com/prowler-cloud/prowler/blob/master/prowler/providers/aws/services/iam/iam_customer_attached_policy_no_administrative_privileges/iam_customer_attached_policy_no_administrative_privileges.py" TargetMode="External"/><Relationship Id="rId39" Type="http://schemas.openxmlformats.org/officeDocument/2006/relationships/hyperlink" Target="https://github.com/prowler-cloud/prowler/blob/master/prowler/providers/aws/services/rds/rds_instance_minor_version_upgrade_enabled/rds_instance_minor_version_upgrade_enabled.py" TargetMode="External"/><Relationship Id="rId34" Type="http://schemas.openxmlformats.org/officeDocument/2006/relationships/hyperlink" Target="https://github.com/prowler-cloud/prowler/blob/master/prowler/providers/aws/services/s3/s3_bucket_no_mfa_delete/s3_bucket_no_mfa_delete.py" TargetMode="External"/><Relationship Id="rId50" Type="http://schemas.openxmlformats.org/officeDocument/2006/relationships/hyperlink" Target="https://github.com/prowler-cloud/prowler/blob/master/prowler/providers/aws/services/vpc/vpc_flow_logs_enabled/vpc_flow_logs_enabled.py" TargetMode="External"/><Relationship Id="rId55" Type="http://schemas.openxmlformats.org/officeDocument/2006/relationships/hyperlink" Target="https://github.com/prowler-cloud/prowler/blob/master/prowler/providers/aws/services/apigateway/apigateway_restapi_logging_enabled/apigateway_restapi_logging_enabled.py" TargetMode="External"/><Relationship Id="rId76" Type="http://schemas.openxmlformats.org/officeDocument/2006/relationships/hyperlink" Target="https://github.com/prowler-cloud/prowler/blob/master/prowler/providers/aws/services/ec2/ec2_networkacl_allow_ingress_tcp_port_22/ec2_networkacl_allow_ingress_tcp_port_22.py" TargetMode="External"/><Relationship Id="rId7" Type="http://schemas.openxmlformats.org/officeDocument/2006/relationships/hyperlink" Target="https://github.com/prowler-cloud/prowler/blob/master/prowler/providers/aws/services/iam/iam_root_mfa_enabled/iam_root_mfa_enabled.py" TargetMode="External"/><Relationship Id="rId71" Type="http://schemas.openxmlformats.org/officeDocument/2006/relationships/hyperlink" Target="https://github.com/prowler-cloud/prowler/blob/master/prowler/providers/aws/services/cloudwatch/cloudwatch_log_metric_filter_aws_organizations_changes/cloudwatch_log_metric_filter_aws_organizations_changes.py" TargetMode="External"/><Relationship Id="rId2" Type="http://schemas.openxmlformats.org/officeDocument/2006/relationships/hyperlink" Target="https://github.com/prowler-cloud/prowler/blob/master/prowler/providers/aws/services/organizations/organizations_delegated_administrators/organizations_delegated_administrators.py" TargetMode="External"/><Relationship Id="rId29" Type="http://schemas.openxmlformats.org/officeDocument/2006/relationships/hyperlink" Target="https://github.com/prowler-cloud/prowler/blob/master/prowler/providers/aws/services/kms/kms_key_not_publicly_accessible/kms_key_not_publicly_accessible.py" TargetMode="External"/><Relationship Id="rId24" Type="http://schemas.openxmlformats.org/officeDocument/2006/relationships/hyperlink" Target="https://github.com/prowler-cloud/prowler/blob/master/prowler/providers/aws/services/iam/iam_policy_cloudshell_admin_not_attached/iam_policy_cloudshell_admin_not_attached.py" TargetMode="External"/><Relationship Id="rId40" Type="http://schemas.openxmlformats.org/officeDocument/2006/relationships/hyperlink" Target="https://github.com/prowler-cloud/prowler/blob/master/prowler/providers/aws/services/rds/rds_instance_no_public_access/rds_instance_no_public_access.py" TargetMode="External"/><Relationship Id="rId45" Type="http://schemas.openxmlformats.org/officeDocument/2006/relationships/hyperlink" Target="https://github.com/prowler-cloud/prowler/blob/master/prowler/providers/aws/services/cloudtrail/cloudtrail_log_file_validation_enabled/cloudtrail_log_file_validation_enabled.py" TargetMode="External"/><Relationship Id="rId66" Type="http://schemas.openxmlformats.org/officeDocument/2006/relationships/hyperlink" Target="https://github.com/prowler-cloud/prowler/blob/master/prowler/providers/aws/services/cloudwatch/cloudwatch_log_metric_filter_security_group_changes/cloudwatch_log_metric_filter_security_group_changes.py" TargetMode="External"/><Relationship Id="rId61" Type="http://schemas.openxmlformats.org/officeDocument/2006/relationships/hyperlink" Target="https://github.com/prowler-cloud/prowler/blob/master/prowler/providers/aws/services/cloudwatch/cloudwatch_log_metric_filter_and_alarm_for_cloudtrail_configuration_changes_enabled/cloudwatch_log_metric_filter_and_alarm_for_cloudtrail_configuration_changes_enabled.py" TargetMode="External"/><Relationship Id="rId82" Type="http://schemas.openxmlformats.org/officeDocument/2006/relationships/hyperlink" Target="https://github.com/prowler-cloud/prowler/blob/master/prowler/providers/aws/services/ec2/ec2_securitygroup_allow_ingress_from_internet_to_tcp_port_22/ec2_securitygroup_allow_ingress_from_internet_to_tcp_port_22.py"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prowler-cloud/prowler/tree/master/prowler/providers/aws/services" TargetMode="External"/><Relationship Id="rId7" Type="http://schemas.openxmlformats.org/officeDocument/2006/relationships/hyperlink" Target="https://aws.amazon.com/about-aws/whats-new/recent/feed/" TargetMode="External"/><Relationship Id="rId2" Type="http://schemas.openxmlformats.org/officeDocument/2006/relationships/hyperlink" Target="https://github.com/prowler-cloud/prowler/blob/master/prowler/compliance/aws/cis_6.0_aws.json" TargetMode="External"/><Relationship Id="rId1" Type="http://schemas.openxmlformats.org/officeDocument/2006/relationships/hyperlink" Target="https://github.com/prowler-cloud/prowler/blob/master/prowler/compliance/aws/cis_7.0_aws.json" TargetMode="External"/><Relationship Id="rId6" Type="http://schemas.openxmlformats.org/officeDocument/2006/relationships/hyperlink" Target="https://www.cisecurity.org/insights/blog/cis-benchmarks-april-2026-update" TargetMode="External"/><Relationship Id="rId5" Type="http://schemas.openxmlformats.org/officeDocument/2006/relationships/hyperlink" Target="https://www.cisecurity.org/benchmark/amazon_web_services" TargetMode="External"/><Relationship Id="rId4" Type="http://schemas.openxmlformats.org/officeDocument/2006/relationships/hyperlink" Target="https://github.com/prowler-cloud/prowler/blob/master/LICEN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abSelected="1" workbookViewId="0"/>
  </sheetViews>
  <sheetFormatPr defaultRowHeight="14.5" x14ac:dyDescent="0.35"/>
  <cols>
    <col min="1" max="1" width="120" customWidth="1"/>
    <col min="2" max="2" width="10" customWidth="1"/>
    <col min="3" max="3" width="60" customWidth="1"/>
  </cols>
  <sheetData>
    <row r="1" spans="1:1" x14ac:dyDescent="0.35">
      <c r="A1" s="1" t="s">
        <v>0</v>
      </c>
    </row>
    <row r="2" spans="1:1" x14ac:dyDescent="0.35">
      <c r="A2" s="2"/>
    </row>
    <row r="3" spans="1:1" x14ac:dyDescent="0.35">
      <c r="A3" s="1" t="s">
        <v>1</v>
      </c>
    </row>
    <row r="4" spans="1:1" ht="25" x14ac:dyDescent="0.35">
      <c r="A4" s="2" t="s">
        <v>2</v>
      </c>
    </row>
    <row r="5" spans="1:1" x14ac:dyDescent="0.35">
      <c r="A5" s="2"/>
    </row>
    <row r="6" spans="1:1" x14ac:dyDescent="0.35">
      <c r="A6" s="1" t="s">
        <v>3</v>
      </c>
    </row>
    <row r="7" spans="1:1" ht="25" x14ac:dyDescent="0.35">
      <c r="A7" s="2" t="s">
        <v>4</v>
      </c>
    </row>
    <row r="8" spans="1:1" ht="25" x14ac:dyDescent="0.35">
      <c r="A8" s="2" t="s">
        <v>5</v>
      </c>
    </row>
    <row r="9" spans="1:1" x14ac:dyDescent="0.35">
      <c r="A9" s="2" t="s">
        <v>6</v>
      </c>
    </row>
    <row r="10" spans="1:1" x14ac:dyDescent="0.35">
      <c r="A10" s="2"/>
    </row>
    <row r="11" spans="1:1" x14ac:dyDescent="0.35">
      <c r="A11" s="1" t="s">
        <v>7</v>
      </c>
    </row>
    <row r="12" spans="1:1" x14ac:dyDescent="0.35">
      <c r="A12" s="2" t="s">
        <v>8</v>
      </c>
    </row>
    <row r="13" spans="1:1" ht="25" x14ac:dyDescent="0.35">
      <c r="A13" s="2" t="s">
        <v>9</v>
      </c>
    </row>
    <row r="14" spans="1:1" x14ac:dyDescent="0.35">
      <c r="A14" s="2" t="s">
        <v>10</v>
      </c>
    </row>
    <row r="15" spans="1:1" ht="25" x14ac:dyDescent="0.35">
      <c r="A15" s="2" t="s">
        <v>11</v>
      </c>
    </row>
    <row r="16" spans="1:1" x14ac:dyDescent="0.35">
      <c r="A16" s="2" t="s">
        <v>12</v>
      </c>
    </row>
    <row r="17" spans="1:3" x14ac:dyDescent="0.35">
      <c r="A17" s="2" t="s">
        <v>13</v>
      </c>
    </row>
    <row r="18" spans="1:3" x14ac:dyDescent="0.35">
      <c r="A18" s="2"/>
    </row>
    <row r="19" spans="1:3" x14ac:dyDescent="0.35">
      <c r="A19" s="1" t="s">
        <v>14</v>
      </c>
    </row>
    <row r="20" spans="1:3" ht="25" x14ac:dyDescent="0.35">
      <c r="A20" s="2" t="s">
        <v>15</v>
      </c>
    </row>
    <row r="21" spans="1:3" ht="25" x14ac:dyDescent="0.35">
      <c r="A21" s="2" t="s">
        <v>16</v>
      </c>
    </row>
    <row r="22" spans="1:3" ht="25" x14ac:dyDescent="0.35">
      <c r="A22" s="2" t="s">
        <v>17</v>
      </c>
    </row>
    <row r="23" spans="1:3" x14ac:dyDescent="0.35">
      <c r="A23" s="2"/>
    </row>
    <row r="24" spans="1:3" x14ac:dyDescent="0.35">
      <c r="A24" s="1" t="s">
        <v>18</v>
      </c>
    </row>
    <row r="25" spans="1:3" ht="25" x14ac:dyDescent="0.35">
      <c r="A25" s="2" t="s">
        <v>19</v>
      </c>
    </row>
    <row r="26" spans="1:3" x14ac:dyDescent="0.35">
      <c r="A26" s="2"/>
    </row>
    <row r="27" spans="1:3" x14ac:dyDescent="0.35">
      <c r="A27" s="1" t="s">
        <v>20</v>
      </c>
    </row>
    <row r="28" spans="1:3" x14ac:dyDescent="0.35">
      <c r="A28" s="3" t="s">
        <v>21</v>
      </c>
      <c r="B28" s="4">
        <v>70</v>
      </c>
      <c r="C28" s="5" t="s">
        <v>22</v>
      </c>
    </row>
    <row r="29" spans="1:3" x14ac:dyDescent="0.35">
      <c r="A29" s="3" t="s">
        <v>23</v>
      </c>
      <c r="B29" s="4">
        <f>COUNTA(Positive_Set!A2:A87)</f>
        <v>86</v>
      </c>
      <c r="C29" s="5" t="s">
        <v>24</v>
      </c>
    </row>
    <row r="30" spans="1:3" x14ac:dyDescent="0.35">
      <c r="A30" s="3" t="s">
        <v>25</v>
      </c>
      <c r="B30" s="4">
        <v>82</v>
      </c>
      <c r="C30" s="5" t="s">
        <v>26</v>
      </c>
    </row>
    <row r="31" spans="1:3" x14ac:dyDescent="0.35">
      <c r="A31" s="3" t="s">
        <v>27</v>
      </c>
      <c r="B31" s="4">
        <f>COUNTA(Edge_Cases!A2:A52)</f>
        <v>51</v>
      </c>
      <c r="C31" s="5"/>
    </row>
    <row r="32" spans="1:3" x14ac:dyDescent="0.35">
      <c r="A32" s="3" t="s">
        <v>28</v>
      </c>
      <c r="B32" s="4">
        <f>COUNTA(Triage_Set!A2:A101)</f>
        <v>100</v>
      </c>
      <c r="C32" s="5" t="s">
        <v>29</v>
      </c>
    </row>
    <row r="33" spans="1:3" x14ac:dyDescent="0.35">
      <c r="A33" s="3" t="s">
        <v>30</v>
      </c>
      <c r="B33" s="4">
        <f>COUNTIF(Triage_Set!F2:F101,"Y")</f>
        <v>11</v>
      </c>
      <c r="C33" s="5" t="s">
        <v>31</v>
      </c>
    </row>
    <row r="34" spans="1:3" x14ac:dyDescent="0.35">
      <c r="A34" s="3" t="s">
        <v>32</v>
      </c>
      <c r="B34" s="4">
        <f>COUNTA(Version_Drift!A2:A32)</f>
        <v>31</v>
      </c>
      <c r="C34" s="5"/>
    </row>
    <row r="35" spans="1:3" x14ac:dyDescent="0.35">
      <c r="A35" s="3" t="s">
        <v>33</v>
      </c>
      <c r="B35" s="4">
        <f>COUNTIF(Positive_Set!L2:L87,"critical")+COUNTIF(Positive_Set!L2:L87,"high")</f>
        <v>37</v>
      </c>
      <c r="C35" s="5"/>
    </row>
    <row r="36" spans="1:3" x14ac:dyDescent="0.35">
      <c r="A36" s="3" t="s">
        <v>34</v>
      </c>
      <c r="B36" s="4">
        <f>COUNTIF(Positive_Set!T2:T87,"T3")</f>
        <v>26</v>
      </c>
      <c r="C36" s="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7"/>
  <sheetViews>
    <sheetView workbookViewId="0">
      <pane xSplit="2" ySplit="1" topLeftCell="C2" activePane="bottomRight" state="frozen"/>
      <selection pane="topRight"/>
      <selection pane="bottomLeft"/>
      <selection pane="bottomRight"/>
    </sheetView>
  </sheetViews>
  <sheetFormatPr defaultRowHeight="14.5" x14ac:dyDescent="0.35"/>
  <cols>
    <col min="1" max="1" width="8" customWidth="1"/>
    <col min="2" max="2" width="7" customWidth="1"/>
    <col min="3" max="3" width="40" customWidth="1"/>
    <col min="4" max="4" width="18" customWidth="1"/>
    <col min="5" max="5" width="8" customWidth="1"/>
    <col min="6" max="6" width="11" customWidth="1"/>
    <col min="7" max="7" width="34" customWidth="1"/>
    <col min="8" max="8" width="40" customWidth="1"/>
    <col min="9" max="9" width="10" customWidth="1"/>
    <col min="10" max="10" width="20" customWidth="1"/>
    <col min="11" max="11" width="12" customWidth="1"/>
    <col min="12" max="12" width="10" customWidth="1"/>
    <col min="13" max="13" width="50" customWidth="1"/>
    <col min="14" max="15" width="40" customWidth="1"/>
    <col min="16" max="16" width="50" customWidth="1"/>
    <col min="17" max="19" width="40" customWidth="1"/>
    <col min="20" max="20" width="11" customWidth="1"/>
  </cols>
  <sheetData>
    <row r="1" spans="1:20" ht="26" x14ac:dyDescent="0.35">
      <c r="A1" s="6" t="s">
        <v>35</v>
      </c>
      <c r="B1" s="6" t="s">
        <v>36</v>
      </c>
      <c r="C1" s="6" t="s">
        <v>37</v>
      </c>
      <c r="D1" s="6" t="s">
        <v>38</v>
      </c>
      <c r="E1" s="6" t="s">
        <v>39</v>
      </c>
      <c r="F1" s="6" t="s">
        <v>40</v>
      </c>
      <c r="G1" s="6" t="s">
        <v>41</v>
      </c>
      <c r="H1" s="6" t="s">
        <v>42</v>
      </c>
      <c r="I1" s="6" t="s">
        <v>43</v>
      </c>
      <c r="J1" s="6" t="s">
        <v>44</v>
      </c>
      <c r="K1" s="6" t="s">
        <v>45</v>
      </c>
      <c r="L1" s="6" t="s">
        <v>46</v>
      </c>
      <c r="M1" s="6" t="s">
        <v>47</v>
      </c>
      <c r="N1" s="6" t="s">
        <v>48</v>
      </c>
      <c r="O1" s="6" t="s">
        <v>49</v>
      </c>
      <c r="P1" s="6" t="s">
        <v>50</v>
      </c>
      <c r="Q1" s="6" t="s">
        <v>51</v>
      </c>
      <c r="R1" s="6" t="s">
        <v>52</v>
      </c>
      <c r="S1" s="6" t="s">
        <v>53</v>
      </c>
      <c r="T1" s="6" t="s">
        <v>54</v>
      </c>
    </row>
    <row r="2" spans="1:20" ht="92" x14ac:dyDescent="0.35">
      <c r="A2" s="7" t="s">
        <v>55</v>
      </c>
      <c r="B2" s="7" t="s">
        <v>56</v>
      </c>
      <c r="C2" s="7" t="s">
        <v>57</v>
      </c>
      <c r="D2" s="7" t="s">
        <v>58</v>
      </c>
      <c r="E2" s="7" t="s">
        <v>59</v>
      </c>
      <c r="F2" s="7" t="s">
        <v>60</v>
      </c>
      <c r="G2" s="7" t="s">
        <v>61</v>
      </c>
      <c r="H2" s="7" t="s">
        <v>62</v>
      </c>
      <c r="I2" s="7" t="s">
        <v>63</v>
      </c>
      <c r="J2" s="7" t="s">
        <v>64</v>
      </c>
      <c r="K2" s="7" t="s">
        <v>65</v>
      </c>
      <c r="L2" s="7" t="s">
        <v>66</v>
      </c>
      <c r="M2" s="7" t="s">
        <v>67</v>
      </c>
      <c r="N2" s="7" t="s">
        <v>68</v>
      </c>
      <c r="O2" s="7" t="s">
        <v>69</v>
      </c>
      <c r="P2" s="7"/>
      <c r="Q2" s="7" t="s">
        <v>70</v>
      </c>
      <c r="R2" s="7" t="s">
        <v>71</v>
      </c>
      <c r="S2" s="8" t="s">
        <v>72</v>
      </c>
      <c r="T2" s="7" t="str">
        <f t="shared" ref="T2:T33" si="0">IF(OR(L2="critical",AND(L2="high",OR(K2="IAM",K2="network"))),"T3",IF(OR(L2="high",L2="medium"),"T2","T1"))</f>
        <v>T3</v>
      </c>
    </row>
    <row r="3" spans="1:20" ht="57.5" x14ac:dyDescent="0.35">
      <c r="A3" s="7" t="s">
        <v>73</v>
      </c>
      <c r="B3" s="7" t="s">
        <v>74</v>
      </c>
      <c r="C3" s="7" t="s">
        <v>75</v>
      </c>
      <c r="D3" s="7" t="s">
        <v>58</v>
      </c>
      <c r="E3" s="7" t="s">
        <v>59</v>
      </c>
      <c r="F3" s="7" t="s">
        <v>60</v>
      </c>
      <c r="G3" s="7" t="s">
        <v>76</v>
      </c>
      <c r="H3" s="7" t="s">
        <v>77</v>
      </c>
      <c r="I3" s="7" t="s">
        <v>78</v>
      </c>
      <c r="J3" s="7" t="s">
        <v>64</v>
      </c>
      <c r="K3" s="7" t="s">
        <v>79</v>
      </c>
      <c r="L3" s="7" t="s">
        <v>80</v>
      </c>
      <c r="M3" s="7" t="s">
        <v>81</v>
      </c>
      <c r="N3" s="7" t="s">
        <v>82</v>
      </c>
      <c r="O3" s="7" t="s">
        <v>83</v>
      </c>
      <c r="P3" s="7"/>
      <c r="Q3" s="7"/>
      <c r="R3" s="7" t="s">
        <v>84</v>
      </c>
      <c r="S3" s="8" t="s">
        <v>85</v>
      </c>
      <c r="T3" s="7" t="str">
        <f t="shared" si="0"/>
        <v>T3</v>
      </c>
    </row>
    <row r="4" spans="1:20" ht="57.5" x14ac:dyDescent="0.35">
      <c r="A4" s="7" t="s">
        <v>86</v>
      </c>
      <c r="B4" s="7" t="s">
        <v>87</v>
      </c>
      <c r="C4" s="7" t="s">
        <v>88</v>
      </c>
      <c r="D4" s="7" t="s">
        <v>58</v>
      </c>
      <c r="E4" s="7" t="s">
        <v>59</v>
      </c>
      <c r="F4" s="7" t="s">
        <v>60</v>
      </c>
      <c r="G4" s="7" t="s">
        <v>76</v>
      </c>
      <c r="H4" s="7" t="s">
        <v>77</v>
      </c>
      <c r="I4" s="7" t="s">
        <v>78</v>
      </c>
      <c r="J4" s="7" t="s">
        <v>64</v>
      </c>
      <c r="K4" s="7" t="s">
        <v>79</v>
      </c>
      <c r="L4" s="7" t="s">
        <v>80</v>
      </c>
      <c r="M4" s="7" t="s">
        <v>81</v>
      </c>
      <c r="N4" s="7" t="s">
        <v>82</v>
      </c>
      <c r="O4" s="7" t="s">
        <v>83</v>
      </c>
      <c r="P4" s="7"/>
      <c r="Q4" s="7"/>
      <c r="R4" s="7" t="s">
        <v>84</v>
      </c>
      <c r="S4" s="8" t="s">
        <v>85</v>
      </c>
      <c r="T4" s="7" t="str">
        <f t="shared" si="0"/>
        <v>T3</v>
      </c>
    </row>
    <row r="5" spans="1:20" ht="138" x14ac:dyDescent="0.35">
      <c r="A5" s="7" t="s">
        <v>89</v>
      </c>
      <c r="B5" s="7" t="s">
        <v>90</v>
      </c>
      <c r="C5" s="7" t="s">
        <v>91</v>
      </c>
      <c r="D5" s="7" t="s">
        <v>58</v>
      </c>
      <c r="E5" s="7" t="s">
        <v>92</v>
      </c>
      <c r="F5" s="7" t="s">
        <v>60</v>
      </c>
      <c r="G5" s="7" t="s">
        <v>93</v>
      </c>
      <c r="H5" s="7" t="s">
        <v>94</v>
      </c>
      <c r="I5" s="7" t="s">
        <v>95</v>
      </c>
      <c r="J5" s="7" t="s">
        <v>64</v>
      </c>
      <c r="K5" s="7" t="s">
        <v>79</v>
      </c>
      <c r="L5" s="7" t="s">
        <v>96</v>
      </c>
      <c r="M5" s="7" t="s">
        <v>97</v>
      </c>
      <c r="N5" s="7"/>
      <c r="O5" s="7"/>
      <c r="P5" s="7" t="s">
        <v>98</v>
      </c>
      <c r="Q5" s="7" t="s">
        <v>99</v>
      </c>
      <c r="R5" s="7" t="s">
        <v>100</v>
      </c>
      <c r="S5" s="8" t="s">
        <v>101</v>
      </c>
      <c r="T5" s="7" t="str">
        <f t="shared" si="0"/>
        <v>T2</v>
      </c>
    </row>
    <row r="6" spans="1:20" ht="115" x14ac:dyDescent="0.35">
      <c r="A6" s="7" t="s">
        <v>102</v>
      </c>
      <c r="B6" s="7" t="s">
        <v>103</v>
      </c>
      <c r="C6" s="7" t="s">
        <v>104</v>
      </c>
      <c r="D6" s="7" t="s">
        <v>58</v>
      </c>
      <c r="E6" s="7" t="s">
        <v>92</v>
      </c>
      <c r="F6" s="7" t="s">
        <v>60</v>
      </c>
      <c r="G6" s="7" t="s">
        <v>105</v>
      </c>
      <c r="H6" s="7" t="s">
        <v>106</v>
      </c>
      <c r="I6" s="7" t="s">
        <v>95</v>
      </c>
      <c r="J6" s="7" t="s">
        <v>64</v>
      </c>
      <c r="K6" s="7" t="s">
        <v>79</v>
      </c>
      <c r="L6" s="7" t="s">
        <v>96</v>
      </c>
      <c r="M6" s="7" t="s">
        <v>107</v>
      </c>
      <c r="N6" s="7"/>
      <c r="O6" s="7"/>
      <c r="P6" s="7" t="s">
        <v>108</v>
      </c>
      <c r="Q6" s="7" t="s">
        <v>109</v>
      </c>
      <c r="R6" s="7"/>
      <c r="S6" s="8" t="s">
        <v>110</v>
      </c>
      <c r="T6" s="7" t="str">
        <f t="shared" si="0"/>
        <v>T2</v>
      </c>
    </row>
    <row r="7" spans="1:20" ht="69" x14ac:dyDescent="0.35">
      <c r="A7" s="7" t="s">
        <v>111</v>
      </c>
      <c r="B7" s="7" t="s">
        <v>112</v>
      </c>
      <c r="C7" s="7" t="s">
        <v>113</v>
      </c>
      <c r="D7" s="7" t="s">
        <v>58</v>
      </c>
      <c r="E7" s="7" t="s">
        <v>92</v>
      </c>
      <c r="F7" s="7" t="s">
        <v>114</v>
      </c>
      <c r="G7" s="7" t="s">
        <v>115</v>
      </c>
      <c r="H7" s="7" t="s">
        <v>116</v>
      </c>
      <c r="I7" s="7" t="s">
        <v>63</v>
      </c>
      <c r="J7" s="7" t="s">
        <v>117</v>
      </c>
      <c r="K7" s="7" t="s">
        <v>65</v>
      </c>
      <c r="L7" s="7" t="s">
        <v>80</v>
      </c>
      <c r="M7" s="7" t="s">
        <v>118</v>
      </c>
      <c r="N7" s="7" t="s">
        <v>119</v>
      </c>
      <c r="O7" s="7" t="s">
        <v>120</v>
      </c>
      <c r="P7" s="7"/>
      <c r="Q7" s="7"/>
      <c r="R7" s="7" t="s">
        <v>121</v>
      </c>
      <c r="S7" s="8" t="s">
        <v>122</v>
      </c>
      <c r="T7" s="7" t="str">
        <f t="shared" si="0"/>
        <v>T3</v>
      </c>
    </row>
    <row r="8" spans="1:20" ht="57.5" x14ac:dyDescent="0.35">
      <c r="A8" s="7" t="s">
        <v>123</v>
      </c>
      <c r="B8" s="7" t="s">
        <v>124</v>
      </c>
      <c r="C8" s="7" t="s">
        <v>125</v>
      </c>
      <c r="D8" s="7" t="s">
        <v>58</v>
      </c>
      <c r="E8" s="7" t="s">
        <v>92</v>
      </c>
      <c r="F8" s="7" t="s">
        <v>114</v>
      </c>
      <c r="G8" s="7" t="s">
        <v>126</v>
      </c>
      <c r="H8" s="7" t="s">
        <v>127</v>
      </c>
      <c r="I8" s="7" t="s">
        <v>63</v>
      </c>
      <c r="J8" s="7" t="s">
        <v>128</v>
      </c>
      <c r="K8" s="7" t="s">
        <v>65</v>
      </c>
      <c r="L8" s="7" t="s">
        <v>80</v>
      </c>
      <c r="M8" s="7" t="s">
        <v>129</v>
      </c>
      <c r="N8" s="7" t="s">
        <v>130</v>
      </c>
      <c r="O8" s="7" t="s">
        <v>131</v>
      </c>
      <c r="P8" s="7"/>
      <c r="Q8" s="7"/>
      <c r="R8" s="7" t="s">
        <v>132</v>
      </c>
      <c r="S8" s="8" t="s">
        <v>133</v>
      </c>
      <c r="T8" s="7" t="str">
        <f t="shared" si="0"/>
        <v>T3</v>
      </c>
    </row>
    <row r="9" spans="1:20" ht="69" x14ac:dyDescent="0.35">
      <c r="A9" s="7" t="s">
        <v>134</v>
      </c>
      <c r="B9" s="7" t="s">
        <v>135</v>
      </c>
      <c r="C9" s="7" t="s">
        <v>136</v>
      </c>
      <c r="D9" s="7" t="s">
        <v>58</v>
      </c>
      <c r="E9" s="7" t="s">
        <v>59</v>
      </c>
      <c r="F9" s="7" t="s">
        <v>60</v>
      </c>
      <c r="G9" s="7" t="s">
        <v>137</v>
      </c>
      <c r="H9" s="7" t="s">
        <v>138</v>
      </c>
      <c r="I9" s="7" t="s">
        <v>63</v>
      </c>
      <c r="J9" s="7" t="s">
        <v>128</v>
      </c>
      <c r="K9" s="7" t="s">
        <v>65</v>
      </c>
      <c r="L9" s="7" t="s">
        <v>80</v>
      </c>
      <c r="M9" s="7" t="s">
        <v>139</v>
      </c>
      <c r="N9" s="7" t="s">
        <v>140</v>
      </c>
      <c r="O9" s="7" t="s">
        <v>141</v>
      </c>
      <c r="P9" s="7"/>
      <c r="Q9" s="7"/>
      <c r="R9" s="7" t="s">
        <v>132</v>
      </c>
      <c r="S9" s="8" t="s">
        <v>142</v>
      </c>
      <c r="T9" s="7" t="str">
        <f t="shared" si="0"/>
        <v>T3</v>
      </c>
    </row>
    <row r="10" spans="1:20" ht="69" x14ac:dyDescent="0.35">
      <c r="A10" s="7" t="s">
        <v>143</v>
      </c>
      <c r="B10" s="7" t="s">
        <v>144</v>
      </c>
      <c r="C10" s="7" t="s">
        <v>145</v>
      </c>
      <c r="D10" s="7" t="s">
        <v>58</v>
      </c>
      <c r="E10" s="7" t="s">
        <v>92</v>
      </c>
      <c r="F10" s="7" t="s">
        <v>60</v>
      </c>
      <c r="G10" s="7" t="s">
        <v>146</v>
      </c>
      <c r="H10" s="7" t="s">
        <v>147</v>
      </c>
      <c r="I10" s="7" t="s">
        <v>63</v>
      </c>
      <c r="J10" s="7" t="s">
        <v>128</v>
      </c>
      <c r="K10" s="7" t="s">
        <v>65</v>
      </c>
      <c r="L10" s="7" t="s">
        <v>66</v>
      </c>
      <c r="M10" s="7" t="s">
        <v>148</v>
      </c>
      <c r="N10" s="7" t="s">
        <v>149</v>
      </c>
      <c r="O10" s="7" t="s">
        <v>150</v>
      </c>
      <c r="P10" s="7"/>
      <c r="Q10" s="7"/>
      <c r="R10" s="7" t="s">
        <v>151</v>
      </c>
      <c r="S10" s="8" t="s">
        <v>152</v>
      </c>
      <c r="T10" s="7" t="str">
        <f t="shared" si="0"/>
        <v>T3</v>
      </c>
    </row>
    <row r="11" spans="1:20" ht="69" x14ac:dyDescent="0.35">
      <c r="A11" s="7" t="s">
        <v>153</v>
      </c>
      <c r="B11" s="7" t="s">
        <v>154</v>
      </c>
      <c r="C11" s="7" t="s">
        <v>155</v>
      </c>
      <c r="D11" s="7" t="s">
        <v>58</v>
      </c>
      <c r="E11" s="7" t="s">
        <v>92</v>
      </c>
      <c r="F11" s="7" t="s">
        <v>114</v>
      </c>
      <c r="G11" s="7" t="s">
        <v>156</v>
      </c>
      <c r="H11" s="7" t="s">
        <v>157</v>
      </c>
      <c r="I11" s="7" t="s">
        <v>63</v>
      </c>
      <c r="J11" s="7" t="s">
        <v>158</v>
      </c>
      <c r="K11" s="7" t="s">
        <v>65</v>
      </c>
      <c r="L11" s="7" t="s">
        <v>96</v>
      </c>
      <c r="M11" s="7" t="s">
        <v>159</v>
      </c>
      <c r="N11" s="7" t="s">
        <v>160</v>
      </c>
      <c r="O11" s="7" t="s">
        <v>161</v>
      </c>
      <c r="P11" s="7" t="s">
        <v>162</v>
      </c>
      <c r="Q11" s="7" t="s">
        <v>163</v>
      </c>
      <c r="R11" s="7" t="s">
        <v>164</v>
      </c>
      <c r="S11" s="8" t="s">
        <v>165</v>
      </c>
      <c r="T11" s="7" t="str">
        <f t="shared" si="0"/>
        <v>T2</v>
      </c>
    </row>
    <row r="12" spans="1:20" ht="57.5" x14ac:dyDescent="0.35">
      <c r="A12" s="7" t="s">
        <v>166</v>
      </c>
      <c r="B12" s="7" t="s">
        <v>167</v>
      </c>
      <c r="C12" s="7" t="s">
        <v>168</v>
      </c>
      <c r="D12" s="7" t="s">
        <v>58</v>
      </c>
      <c r="E12" s="7" t="s">
        <v>92</v>
      </c>
      <c r="F12" s="7" t="s">
        <v>114</v>
      </c>
      <c r="G12" s="7" t="s">
        <v>169</v>
      </c>
      <c r="H12" s="7" t="s">
        <v>170</v>
      </c>
      <c r="I12" s="7" t="s">
        <v>63</v>
      </c>
      <c r="J12" s="7" t="s">
        <v>158</v>
      </c>
      <c r="K12" s="7" t="s">
        <v>65</v>
      </c>
      <c r="L12" s="7" t="s">
        <v>96</v>
      </c>
      <c r="M12" s="7" t="s">
        <v>171</v>
      </c>
      <c r="N12" s="7" t="s">
        <v>172</v>
      </c>
      <c r="O12" s="7" t="s">
        <v>173</v>
      </c>
      <c r="P12" s="7" t="s">
        <v>174</v>
      </c>
      <c r="Q12" s="7" t="s">
        <v>175</v>
      </c>
      <c r="R12" s="7" t="s">
        <v>176</v>
      </c>
      <c r="S12" s="8" t="s">
        <v>177</v>
      </c>
      <c r="T12" s="7" t="str">
        <f t="shared" si="0"/>
        <v>T2</v>
      </c>
    </row>
    <row r="13" spans="1:20" ht="92" x14ac:dyDescent="0.35">
      <c r="A13" s="7" t="s">
        <v>178</v>
      </c>
      <c r="B13" s="7" t="s">
        <v>179</v>
      </c>
      <c r="C13" s="7" t="s">
        <v>180</v>
      </c>
      <c r="D13" s="7" t="s">
        <v>58</v>
      </c>
      <c r="E13" s="7" t="s">
        <v>92</v>
      </c>
      <c r="F13" s="7" t="s">
        <v>114</v>
      </c>
      <c r="G13" s="7" t="s">
        <v>181</v>
      </c>
      <c r="H13" s="7" t="s">
        <v>182</v>
      </c>
      <c r="I13" s="7" t="s">
        <v>63</v>
      </c>
      <c r="J13" s="7" t="s">
        <v>128</v>
      </c>
      <c r="K13" s="7" t="s">
        <v>65</v>
      </c>
      <c r="L13" s="7" t="s">
        <v>66</v>
      </c>
      <c r="M13" s="7" t="s">
        <v>183</v>
      </c>
      <c r="N13" s="7" t="s">
        <v>184</v>
      </c>
      <c r="O13" s="7" t="s">
        <v>185</v>
      </c>
      <c r="P13" s="7" t="s">
        <v>186</v>
      </c>
      <c r="Q13" s="7" t="s">
        <v>187</v>
      </c>
      <c r="R13" s="7" t="s">
        <v>188</v>
      </c>
      <c r="S13" s="8" t="s">
        <v>189</v>
      </c>
      <c r="T13" s="7" t="str">
        <f t="shared" si="0"/>
        <v>T3</v>
      </c>
    </row>
    <row r="14" spans="1:20" ht="57.5" x14ac:dyDescent="0.35">
      <c r="A14" s="7" t="s">
        <v>190</v>
      </c>
      <c r="B14" s="7" t="s">
        <v>191</v>
      </c>
      <c r="C14" s="7" t="s">
        <v>192</v>
      </c>
      <c r="D14" s="7" t="s">
        <v>58</v>
      </c>
      <c r="E14" s="7" t="s">
        <v>92</v>
      </c>
      <c r="F14" s="7" t="s">
        <v>114</v>
      </c>
      <c r="G14" s="7" t="s">
        <v>193</v>
      </c>
      <c r="H14" s="7" t="s">
        <v>194</v>
      </c>
      <c r="I14" s="7" t="s">
        <v>63</v>
      </c>
      <c r="J14" s="7" t="s">
        <v>128</v>
      </c>
      <c r="K14" s="7" t="s">
        <v>65</v>
      </c>
      <c r="L14" s="7" t="s">
        <v>96</v>
      </c>
      <c r="M14" s="7" t="s">
        <v>195</v>
      </c>
      <c r="N14" s="7" t="s">
        <v>196</v>
      </c>
      <c r="O14" s="7" t="s">
        <v>197</v>
      </c>
      <c r="P14" s="7"/>
      <c r="Q14" s="7" t="s">
        <v>198</v>
      </c>
      <c r="R14" s="7" t="s">
        <v>199</v>
      </c>
      <c r="S14" s="8" t="s">
        <v>200</v>
      </c>
      <c r="T14" s="7" t="str">
        <f t="shared" si="0"/>
        <v>T2</v>
      </c>
    </row>
    <row r="15" spans="1:20" ht="80.5" x14ac:dyDescent="0.35">
      <c r="A15" s="7" t="s">
        <v>201</v>
      </c>
      <c r="B15" s="7" t="s">
        <v>191</v>
      </c>
      <c r="C15" s="7" t="s">
        <v>192</v>
      </c>
      <c r="D15" s="7" t="s">
        <v>58</v>
      </c>
      <c r="E15" s="7" t="s">
        <v>92</v>
      </c>
      <c r="F15" s="7" t="s">
        <v>114</v>
      </c>
      <c r="G15" s="7" t="s">
        <v>202</v>
      </c>
      <c r="H15" s="7" t="s">
        <v>203</v>
      </c>
      <c r="I15" s="7" t="s">
        <v>63</v>
      </c>
      <c r="J15" s="7" t="s">
        <v>128</v>
      </c>
      <c r="K15" s="7" t="s">
        <v>65</v>
      </c>
      <c r="L15" s="7" t="s">
        <v>96</v>
      </c>
      <c r="M15" s="7" t="s">
        <v>204</v>
      </c>
      <c r="N15" s="7" t="s">
        <v>205</v>
      </c>
      <c r="O15" s="7" t="s">
        <v>206</v>
      </c>
      <c r="P15" s="7" t="s">
        <v>207</v>
      </c>
      <c r="Q15" s="7" t="s">
        <v>208</v>
      </c>
      <c r="R15" s="7" t="s">
        <v>199</v>
      </c>
      <c r="S15" s="8" t="s">
        <v>209</v>
      </c>
      <c r="T15" s="7" t="str">
        <f t="shared" si="0"/>
        <v>T2</v>
      </c>
    </row>
    <row r="16" spans="1:20" ht="57.5" x14ac:dyDescent="0.35">
      <c r="A16" s="7" t="s">
        <v>210</v>
      </c>
      <c r="B16" s="7" t="s">
        <v>211</v>
      </c>
      <c r="C16" s="7" t="s">
        <v>212</v>
      </c>
      <c r="D16" s="7" t="s">
        <v>58</v>
      </c>
      <c r="E16" s="7" t="s">
        <v>92</v>
      </c>
      <c r="F16" s="7" t="s">
        <v>114</v>
      </c>
      <c r="G16" s="7" t="s">
        <v>213</v>
      </c>
      <c r="H16" s="7" t="s">
        <v>214</v>
      </c>
      <c r="I16" s="7" t="s">
        <v>63</v>
      </c>
      <c r="J16" s="7" t="s">
        <v>128</v>
      </c>
      <c r="K16" s="7" t="s">
        <v>65</v>
      </c>
      <c r="L16" s="7" t="s">
        <v>96</v>
      </c>
      <c r="M16" s="7" t="s">
        <v>215</v>
      </c>
      <c r="N16" s="7" t="s">
        <v>216</v>
      </c>
      <c r="O16" s="7" t="s">
        <v>197</v>
      </c>
      <c r="P16" s="7" t="s">
        <v>217</v>
      </c>
      <c r="Q16" s="7" t="s">
        <v>198</v>
      </c>
      <c r="R16" s="7" t="s">
        <v>218</v>
      </c>
      <c r="S16" s="8" t="s">
        <v>219</v>
      </c>
      <c r="T16" s="7" t="str">
        <f t="shared" si="0"/>
        <v>T2</v>
      </c>
    </row>
    <row r="17" spans="1:20" ht="57.5" x14ac:dyDescent="0.35">
      <c r="A17" s="7" t="s">
        <v>220</v>
      </c>
      <c r="B17" s="7" t="s">
        <v>221</v>
      </c>
      <c r="C17" s="7" t="s">
        <v>222</v>
      </c>
      <c r="D17" s="7" t="s">
        <v>58</v>
      </c>
      <c r="E17" s="7" t="s">
        <v>92</v>
      </c>
      <c r="F17" s="7" t="s">
        <v>114</v>
      </c>
      <c r="G17" s="7" t="s">
        <v>223</v>
      </c>
      <c r="H17" s="7" t="s">
        <v>224</v>
      </c>
      <c r="I17" s="7" t="s">
        <v>63</v>
      </c>
      <c r="J17" s="7" t="s">
        <v>128</v>
      </c>
      <c r="K17" s="7" t="s">
        <v>65</v>
      </c>
      <c r="L17" s="7" t="s">
        <v>225</v>
      </c>
      <c r="M17" s="7" t="s">
        <v>226</v>
      </c>
      <c r="N17" s="7" t="s">
        <v>227</v>
      </c>
      <c r="O17" s="7" t="s">
        <v>228</v>
      </c>
      <c r="P17" s="7"/>
      <c r="Q17" s="7"/>
      <c r="R17" s="7" t="s">
        <v>229</v>
      </c>
      <c r="S17" s="8" t="s">
        <v>230</v>
      </c>
      <c r="T17" s="7" t="str">
        <f t="shared" si="0"/>
        <v>T1</v>
      </c>
    </row>
    <row r="18" spans="1:20" ht="92" x14ac:dyDescent="0.35">
      <c r="A18" s="7" t="s">
        <v>231</v>
      </c>
      <c r="B18" s="7" t="s">
        <v>232</v>
      </c>
      <c r="C18" s="7" t="s">
        <v>233</v>
      </c>
      <c r="D18" s="7" t="s">
        <v>58</v>
      </c>
      <c r="E18" s="7" t="s">
        <v>92</v>
      </c>
      <c r="F18" s="7" t="s">
        <v>114</v>
      </c>
      <c r="G18" s="7" t="s">
        <v>234</v>
      </c>
      <c r="H18" s="7" t="s">
        <v>235</v>
      </c>
      <c r="I18" s="7" t="s">
        <v>63</v>
      </c>
      <c r="J18" s="7" t="s">
        <v>158</v>
      </c>
      <c r="K18" s="7" t="s">
        <v>65</v>
      </c>
      <c r="L18" s="7" t="s">
        <v>80</v>
      </c>
      <c r="M18" s="7" t="s">
        <v>236</v>
      </c>
      <c r="N18" s="7" t="s">
        <v>237</v>
      </c>
      <c r="O18" s="7" t="s">
        <v>238</v>
      </c>
      <c r="P18" s="7" t="s">
        <v>239</v>
      </c>
      <c r="Q18" s="7"/>
      <c r="R18" s="7" t="s">
        <v>240</v>
      </c>
      <c r="S18" s="8" t="s">
        <v>241</v>
      </c>
      <c r="T18" s="7" t="str">
        <f t="shared" si="0"/>
        <v>T3</v>
      </c>
    </row>
    <row r="19" spans="1:20" ht="161" x14ac:dyDescent="0.35">
      <c r="A19" s="7" t="s">
        <v>242</v>
      </c>
      <c r="B19" s="7" t="s">
        <v>232</v>
      </c>
      <c r="C19" s="7" t="s">
        <v>233</v>
      </c>
      <c r="D19" s="7" t="s">
        <v>58</v>
      </c>
      <c r="E19" s="7" t="s">
        <v>92</v>
      </c>
      <c r="F19" s="7" t="s">
        <v>114</v>
      </c>
      <c r="G19" s="7" t="s">
        <v>243</v>
      </c>
      <c r="H19" s="7" t="s">
        <v>244</v>
      </c>
      <c r="I19" s="7" t="s">
        <v>63</v>
      </c>
      <c r="J19" s="7" t="s">
        <v>158</v>
      </c>
      <c r="K19" s="7" t="s">
        <v>65</v>
      </c>
      <c r="L19" s="7" t="s">
        <v>66</v>
      </c>
      <c r="M19" s="7" t="s">
        <v>245</v>
      </c>
      <c r="N19" s="7" t="s">
        <v>237</v>
      </c>
      <c r="O19" s="7" t="s">
        <v>238</v>
      </c>
      <c r="P19" s="7" t="s">
        <v>246</v>
      </c>
      <c r="Q19" s="7" t="s">
        <v>247</v>
      </c>
      <c r="R19" s="7" t="s">
        <v>248</v>
      </c>
      <c r="S19" s="8" t="s">
        <v>249</v>
      </c>
      <c r="T19" s="7" t="str">
        <f t="shared" si="0"/>
        <v>T3</v>
      </c>
    </row>
    <row r="20" spans="1:20" ht="218.5" x14ac:dyDescent="0.35">
      <c r="A20" s="7" t="s">
        <v>250</v>
      </c>
      <c r="B20" s="7" t="s">
        <v>251</v>
      </c>
      <c r="C20" s="7" t="s">
        <v>252</v>
      </c>
      <c r="D20" s="7" t="s">
        <v>58</v>
      </c>
      <c r="E20" s="7" t="s">
        <v>92</v>
      </c>
      <c r="F20" s="7" t="s">
        <v>114</v>
      </c>
      <c r="G20" s="7" t="s">
        <v>253</v>
      </c>
      <c r="H20" s="7" t="s">
        <v>254</v>
      </c>
      <c r="I20" s="7" t="s">
        <v>63</v>
      </c>
      <c r="J20" s="7" t="s">
        <v>255</v>
      </c>
      <c r="K20" s="7" t="s">
        <v>65</v>
      </c>
      <c r="L20" s="7" t="s">
        <v>225</v>
      </c>
      <c r="M20" s="7" t="s">
        <v>256</v>
      </c>
      <c r="N20" s="7" t="s">
        <v>257</v>
      </c>
      <c r="O20" s="7" t="s">
        <v>258</v>
      </c>
      <c r="P20" s="7" t="s">
        <v>259</v>
      </c>
      <c r="Q20" s="7" t="s">
        <v>260</v>
      </c>
      <c r="R20" s="7" t="s">
        <v>261</v>
      </c>
      <c r="S20" s="8" t="s">
        <v>262</v>
      </c>
      <c r="T20" s="7" t="str">
        <f t="shared" si="0"/>
        <v>T1</v>
      </c>
    </row>
    <row r="21" spans="1:20" ht="80.5" x14ac:dyDescent="0.35">
      <c r="A21" s="7" t="s">
        <v>263</v>
      </c>
      <c r="B21" s="7" t="s">
        <v>264</v>
      </c>
      <c r="C21" s="7" t="s">
        <v>265</v>
      </c>
      <c r="D21" s="7" t="s">
        <v>58</v>
      </c>
      <c r="E21" s="7" t="s">
        <v>59</v>
      </c>
      <c r="F21" s="7" t="s">
        <v>114</v>
      </c>
      <c r="G21" s="7" t="s">
        <v>266</v>
      </c>
      <c r="H21" s="7" t="s">
        <v>267</v>
      </c>
      <c r="I21" s="7" t="s">
        <v>268</v>
      </c>
      <c r="J21" s="7" t="s">
        <v>269</v>
      </c>
      <c r="K21" s="7" t="s">
        <v>270</v>
      </c>
      <c r="L21" s="7" t="s">
        <v>96</v>
      </c>
      <c r="M21" s="7" t="s">
        <v>271</v>
      </c>
      <c r="N21" s="7" t="s">
        <v>272</v>
      </c>
      <c r="O21" s="7" t="s">
        <v>273</v>
      </c>
      <c r="P21" s="7" t="s">
        <v>274</v>
      </c>
      <c r="Q21" s="7" t="s">
        <v>275</v>
      </c>
      <c r="R21" s="7" t="s">
        <v>276</v>
      </c>
      <c r="S21" s="8" t="s">
        <v>277</v>
      </c>
      <c r="T21" s="7" t="str">
        <f t="shared" si="0"/>
        <v>T2</v>
      </c>
    </row>
    <row r="22" spans="1:20" ht="69" x14ac:dyDescent="0.35">
      <c r="A22" s="7" t="s">
        <v>278</v>
      </c>
      <c r="B22" s="7" t="s">
        <v>279</v>
      </c>
      <c r="C22" s="7" t="s">
        <v>280</v>
      </c>
      <c r="D22" s="7" t="s">
        <v>58</v>
      </c>
      <c r="E22" s="7" t="s">
        <v>92</v>
      </c>
      <c r="F22" s="7" t="s">
        <v>114</v>
      </c>
      <c r="G22" s="7" t="s">
        <v>281</v>
      </c>
      <c r="H22" s="7" t="s">
        <v>282</v>
      </c>
      <c r="I22" s="7" t="s">
        <v>63</v>
      </c>
      <c r="J22" s="7" t="s">
        <v>283</v>
      </c>
      <c r="K22" s="7" t="s">
        <v>65</v>
      </c>
      <c r="L22" s="7" t="s">
        <v>66</v>
      </c>
      <c r="M22" s="7" t="s">
        <v>284</v>
      </c>
      <c r="N22" s="7" t="s">
        <v>285</v>
      </c>
      <c r="O22" s="7" t="s">
        <v>286</v>
      </c>
      <c r="P22" s="7"/>
      <c r="Q22" s="7" t="s">
        <v>287</v>
      </c>
      <c r="R22" s="7" t="s">
        <v>288</v>
      </c>
      <c r="S22" s="8" t="s">
        <v>289</v>
      </c>
      <c r="T22" s="7" t="str">
        <f t="shared" si="0"/>
        <v>T3</v>
      </c>
    </row>
    <row r="23" spans="1:20" ht="184" x14ac:dyDescent="0.35">
      <c r="A23" s="7" t="s">
        <v>290</v>
      </c>
      <c r="B23" s="7" t="s">
        <v>291</v>
      </c>
      <c r="C23" s="7" t="s">
        <v>292</v>
      </c>
      <c r="D23" s="7" t="s">
        <v>58</v>
      </c>
      <c r="E23" s="7" t="s">
        <v>92</v>
      </c>
      <c r="F23" s="7" t="s">
        <v>114</v>
      </c>
      <c r="G23" s="7" t="s">
        <v>293</v>
      </c>
      <c r="H23" s="7" t="s">
        <v>294</v>
      </c>
      <c r="I23" s="7" t="s">
        <v>295</v>
      </c>
      <c r="J23" s="7" t="s">
        <v>64</v>
      </c>
      <c r="K23" s="7" t="s">
        <v>296</v>
      </c>
      <c r="L23" s="7" t="s">
        <v>225</v>
      </c>
      <c r="M23" s="7" t="s">
        <v>297</v>
      </c>
      <c r="N23" s="7" t="s">
        <v>298</v>
      </c>
      <c r="O23" s="7" t="s">
        <v>299</v>
      </c>
      <c r="P23" s="7" t="s">
        <v>300</v>
      </c>
      <c r="Q23" s="7" t="s">
        <v>301</v>
      </c>
      <c r="R23" s="7" t="s">
        <v>302</v>
      </c>
      <c r="S23" s="8" t="s">
        <v>303</v>
      </c>
      <c r="T23" s="7" t="str">
        <f t="shared" si="0"/>
        <v>T1</v>
      </c>
    </row>
    <row r="24" spans="1:20" ht="80.5" x14ac:dyDescent="0.35">
      <c r="A24" s="7" t="s">
        <v>304</v>
      </c>
      <c r="B24" s="7" t="s">
        <v>305</v>
      </c>
      <c r="C24" s="7" t="s">
        <v>306</v>
      </c>
      <c r="D24" s="7" t="s">
        <v>58</v>
      </c>
      <c r="E24" s="7" t="s">
        <v>59</v>
      </c>
      <c r="F24" s="7" t="s">
        <v>60</v>
      </c>
      <c r="G24" s="7" t="s">
        <v>307</v>
      </c>
      <c r="H24" s="7" t="s">
        <v>308</v>
      </c>
      <c r="I24" s="7" t="s">
        <v>63</v>
      </c>
      <c r="J24" s="7" t="s">
        <v>64</v>
      </c>
      <c r="K24" s="7" t="s">
        <v>65</v>
      </c>
      <c r="L24" s="7" t="s">
        <v>225</v>
      </c>
      <c r="M24" s="7" t="s">
        <v>309</v>
      </c>
      <c r="N24" s="7" t="s">
        <v>310</v>
      </c>
      <c r="O24" s="7" t="s">
        <v>311</v>
      </c>
      <c r="P24" s="7" t="s">
        <v>312</v>
      </c>
      <c r="Q24" s="7" t="s">
        <v>313</v>
      </c>
      <c r="R24" s="7" t="s">
        <v>314</v>
      </c>
      <c r="S24" s="8" t="s">
        <v>315</v>
      </c>
      <c r="T24" s="7" t="str">
        <f t="shared" si="0"/>
        <v>T1</v>
      </c>
    </row>
    <row r="25" spans="1:20" ht="115" x14ac:dyDescent="0.35">
      <c r="A25" s="7" t="s">
        <v>316</v>
      </c>
      <c r="B25" s="7" t="s">
        <v>317</v>
      </c>
      <c r="C25" s="7" t="s">
        <v>318</v>
      </c>
      <c r="D25" s="7" t="s">
        <v>58</v>
      </c>
      <c r="E25" s="7" t="s">
        <v>92</v>
      </c>
      <c r="F25" s="7" t="s">
        <v>60</v>
      </c>
      <c r="G25" s="7" t="s">
        <v>319</v>
      </c>
      <c r="H25" s="7" t="s">
        <v>320</v>
      </c>
      <c r="I25" s="7" t="s">
        <v>63</v>
      </c>
      <c r="J25" s="7" t="s">
        <v>158</v>
      </c>
      <c r="K25" s="7" t="s">
        <v>65</v>
      </c>
      <c r="L25" s="7" t="s">
        <v>96</v>
      </c>
      <c r="M25" s="7" t="s">
        <v>321</v>
      </c>
      <c r="N25" s="7" t="s">
        <v>322</v>
      </c>
      <c r="O25" s="7" t="s">
        <v>323</v>
      </c>
      <c r="P25" s="7" t="s">
        <v>324</v>
      </c>
      <c r="Q25" s="7"/>
      <c r="R25" s="7" t="s">
        <v>325</v>
      </c>
      <c r="S25" s="8" t="s">
        <v>326</v>
      </c>
      <c r="T25" s="7" t="str">
        <f t="shared" si="0"/>
        <v>T2</v>
      </c>
    </row>
    <row r="26" spans="1:20" ht="92" x14ac:dyDescent="0.35">
      <c r="A26" s="7" t="s">
        <v>327</v>
      </c>
      <c r="B26" s="7" t="s">
        <v>328</v>
      </c>
      <c r="C26" s="7" t="s">
        <v>329</v>
      </c>
      <c r="D26" s="7" t="s">
        <v>58</v>
      </c>
      <c r="E26" s="7" t="s">
        <v>92</v>
      </c>
      <c r="F26" s="7" t="s">
        <v>60</v>
      </c>
      <c r="G26" s="7" t="s">
        <v>330</v>
      </c>
      <c r="H26" s="7" t="s">
        <v>331</v>
      </c>
      <c r="I26" s="7" t="s">
        <v>332</v>
      </c>
      <c r="J26" s="7" t="s">
        <v>333</v>
      </c>
      <c r="K26" s="7" t="s">
        <v>334</v>
      </c>
      <c r="L26" s="7" t="s">
        <v>80</v>
      </c>
      <c r="M26" s="7" t="s">
        <v>335</v>
      </c>
      <c r="N26" s="7" t="s">
        <v>336</v>
      </c>
      <c r="O26" s="7" t="s">
        <v>337</v>
      </c>
      <c r="P26" s="7" t="s">
        <v>338</v>
      </c>
      <c r="Q26" s="7" t="s">
        <v>339</v>
      </c>
      <c r="R26" s="7" t="s">
        <v>340</v>
      </c>
      <c r="S26" s="8" t="s">
        <v>341</v>
      </c>
      <c r="T26" s="7" t="str">
        <f t="shared" si="0"/>
        <v>T3</v>
      </c>
    </row>
    <row r="27" spans="1:20" ht="161" x14ac:dyDescent="0.35">
      <c r="A27" s="7" t="s">
        <v>342</v>
      </c>
      <c r="B27" s="7" t="s">
        <v>328</v>
      </c>
      <c r="C27" s="7" t="s">
        <v>329</v>
      </c>
      <c r="D27" s="7" t="s">
        <v>58</v>
      </c>
      <c r="E27" s="7" t="s">
        <v>92</v>
      </c>
      <c r="F27" s="7" t="s">
        <v>60</v>
      </c>
      <c r="G27" s="7" t="s">
        <v>343</v>
      </c>
      <c r="H27" s="7" t="s">
        <v>344</v>
      </c>
      <c r="I27" s="7" t="s">
        <v>345</v>
      </c>
      <c r="J27" s="7" t="s">
        <v>346</v>
      </c>
      <c r="K27" s="7" t="s">
        <v>347</v>
      </c>
      <c r="L27" s="7" t="s">
        <v>80</v>
      </c>
      <c r="M27" s="7" t="s">
        <v>348</v>
      </c>
      <c r="N27" s="7" t="s">
        <v>349</v>
      </c>
      <c r="O27" s="7" t="s">
        <v>350</v>
      </c>
      <c r="P27" s="7" t="s">
        <v>351</v>
      </c>
      <c r="Q27" s="7" t="s">
        <v>352</v>
      </c>
      <c r="R27" s="7" t="s">
        <v>353</v>
      </c>
      <c r="S27" s="8" t="s">
        <v>354</v>
      </c>
      <c r="T27" s="7" t="str">
        <f t="shared" si="0"/>
        <v>T3</v>
      </c>
    </row>
    <row r="28" spans="1:20" ht="161" x14ac:dyDescent="0.35">
      <c r="A28" s="7" t="s">
        <v>355</v>
      </c>
      <c r="B28" s="7" t="s">
        <v>328</v>
      </c>
      <c r="C28" s="7" t="s">
        <v>329</v>
      </c>
      <c r="D28" s="7" t="s">
        <v>58</v>
      </c>
      <c r="E28" s="7" t="s">
        <v>92</v>
      </c>
      <c r="F28" s="7" t="s">
        <v>60</v>
      </c>
      <c r="G28" s="7" t="s">
        <v>356</v>
      </c>
      <c r="H28" s="7" t="s">
        <v>357</v>
      </c>
      <c r="I28" s="7" t="s">
        <v>358</v>
      </c>
      <c r="J28" s="7" t="s">
        <v>359</v>
      </c>
      <c r="K28" s="7" t="s">
        <v>347</v>
      </c>
      <c r="L28" s="7" t="s">
        <v>66</v>
      </c>
      <c r="M28" s="7" t="s">
        <v>360</v>
      </c>
      <c r="N28" s="7" t="s">
        <v>361</v>
      </c>
      <c r="O28" s="7" t="s">
        <v>362</v>
      </c>
      <c r="P28" s="7" t="s">
        <v>363</v>
      </c>
      <c r="Q28" s="7" t="s">
        <v>364</v>
      </c>
      <c r="R28" s="7" t="s">
        <v>365</v>
      </c>
      <c r="S28" s="8" t="s">
        <v>366</v>
      </c>
      <c r="T28" s="7" t="str">
        <f t="shared" si="0"/>
        <v>T2</v>
      </c>
    </row>
    <row r="29" spans="1:20" ht="103.5" x14ac:dyDescent="0.35">
      <c r="A29" s="7" t="s">
        <v>367</v>
      </c>
      <c r="B29" s="7" t="s">
        <v>328</v>
      </c>
      <c r="C29" s="7" t="s">
        <v>329</v>
      </c>
      <c r="D29" s="7" t="s">
        <v>58</v>
      </c>
      <c r="E29" s="7" t="s">
        <v>92</v>
      </c>
      <c r="F29" s="7" t="s">
        <v>60</v>
      </c>
      <c r="G29" s="7" t="s">
        <v>368</v>
      </c>
      <c r="H29" s="7" t="s">
        <v>369</v>
      </c>
      <c r="I29" s="7" t="s">
        <v>370</v>
      </c>
      <c r="J29" s="7" t="s">
        <v>371</v>
      </c>
      <c r="K29" s="7" t="s">
        <v>372</v>
      </c>
      <c r="L29" s="7" t="s">
        <v>80</v>
      </c>
      <c r="M29" s="7" t="s">
        <v>373</v>
      </c>
      <c r="N29" s="7" t="s">
        <v>374</v>
      </c>
      <c r="O29" s="7" t="s">
        <v>375</v>
      </c>
      <c r="P29" s="7" t="s">
        <v>376</v>
      </c>
      <c r="Q29" s="7" t="s">
        <v>377</v>
      </c>
      <c r="R29" s="7" t="s">
        <v>378</v>
      </c>
      <c r="S29" s="8" t="s">
        <v>379</v>
      </c>
      <c r="T29" s="7" t="str">
        <f t="shared" si="0"/>
        <v>T3</v>
      </c>
    </row>
    <row r="30" spans="1:20" ht="218.5" x14ac:dyDescent="0.35">
      <c r="A30" s="7" t="s">
        <v>380</v>
      </c>
      <c r="B30" s="7" t="s">
        <v>328</v>
      </c>
      <c r="C30" s="7" t="s">
        <v>329</v>
      </c>
      <c r="D30" s="7" t="s">
        <v>58</v>
      </c>
      <c r="E30" s="7" t="s">
        <v>92</v>
      </c>
      <c r="F30" s="7" t="s">
        <v>60</v>
      </c>
      <c r="G30" s="7" t="s">
        <v>381</v>
      </c>
      <c r="H30" s="7" t="s">
        <v>382</v>
      </c>
      <c r="I30" s="7" t="s">
        <v>383</v>
      </c>
      <c r="J30" s="7" t="s">
        <v>384</v>
      </c>
      <c r="K30" s="7" t="s">
        <v>296</v>
      </c>
      <c r="L30" s="7" t="s">
        <v>80</v>
      </c>
      <c r="M30" s="7" t="s">
        <v>385</v>
      </c>
      <c r="N30" s="7" t="s">
        <v>386</v>
      </c>
      <c r="O30" s="7" t="s">
        <v>387</v>
      </c>
      <c r="P30" s="7" t="s">
        <v>388</v>
      </c>
      <c r="Q30" s="7" t="s">
        <v>389</v>
      </c>
      <c r="R30" s="7" t="s">
        <v>390</v>
      </c>
      <c r="S30" s="8" t="s">
        <v>391</v>
      </c>
      <c r="T30" s="7" t="str">
        <f t="shared" si="0"/>
        <v>T3</v>
      </c>
    </row>
    <row r="31" spans="1:20" ht="69" x14ac:dyDescent="0.35">
      <c r="A31" s="7" t="s">
        <v>392</v>
      </c>
      <c r="B31" s="7" t="s">
        <v>328</v>
      </c>
      <c r="C31" s="7" t="s">
        <v>329</v>
      </c>
      <c r="D31" s="7" t="s">
        <v>58</v>
      </c>
      <c r="E31" s="7" t="s">
        <v>92</v>
      </c>
      <c r="F31" s="7" t="s">
        <v>60</v>
      </c>
      <c r="G31" s="7" t="s">
        <v>393</v>
      </c>
      <c r="H31" s="7" t="s">
        <v>394</v>
      </c>
      <c r="I31" s="7" t="s">
        <v>395</v>
      </c>
      <c r="J31" s="7" t="s">
        <v>64</v>
      </c>
      <c r="K31" s="7" t="s">
        <v>334</v>
      </c>
      <c r="L31" s="7" t="s">
        <v>80</v>
      </c>
      <c r="M31" s="7" t="s">
        <v>396</v>
      </c>
      <c r="N31" s="7" t="s">
        <v>397</v>
      </c>
      <c r="O31" s="7" t="s">
        <v>398</v>
      </c>
      <c r="P31" s="7" t="s">
        <v>399</v>
      </c>
      <c r="Q31" s="7" t="s">
        <v>400</v>
      </c>
      <c r="R31" s="7" t="s">
        <v>401</v>
      </c>
      <c r="S31" s="8" t="s">
        <v>402</v>
      </c>
      <c r="T31" s="7" t="str">
        <f t="shared" si="0"/>
        <v>T3</v>
      </c>
    </row>
    <row r="32" spans="1:20" ht="172.5" x14ac:dyDescent="0.35">
      <c r="A32" s="7" t="s">
        <v>403</v>
      </c>
      <c r="B32" s="7" t="s">
        <v>328</v>
      </c>
      <c r="C32" s="7" t="s">
        <v>329</v>
      </c>
      <c r="D32" s="7" t="s">
        <v>58</v>
      </c>
      <c r="E32" s="7" t="s">
        <v>92</v>
      </c>
      <c r="F32" s="7" t="s">
        <v>60</v>
      </c>
      <c r="G32" s="7" t="s">
        <v>404</v>
      </c>
      <c r="H32" s="7" t="s">
        <v>405</v>
      </c>
      <c r="I32" s="7" t="s">
        <v>406</v>
      </c>
      <c r="J32" s="7" t="s">
        <v>407</v>
      </c>
      <c r="K32" s="7" t="s">
        <v>296</v>
      </c>
      <c r="L32" s="7" t="s">
        <v>66</v>
      </c>
      <c r="M32" s="7" t="s">
        <v>408</v>
      </c>
      <c r="N32" s="7" t="s">
        <v>409</v>
      </c>
      <c r="O32" s="7" t="s">
        <v>410</v>
      </c>
      <c r="P32" s="7" t="s">
        <v>411</v>
      </c>
      <c r="Q32" s="7" t="s">
        <v>412</v>
      </c>
      <c r="R32" s="7" t="s">
        <v>413</v>
      </c>
      <c r="S32" s="8" t="s">
        <v>414</v>
      </c>
      <c r="T32" s="7" t="str">
        <f t="shared" si="0"/>
        <v>T2</v>
      </c>
    </row>
    <row r="33" spans="1:20" ht="218.5" x14ac:dyDescent="0.35">
      <c r="A33" s="7" t="s">
        <v>415</v>
      </c>
      <c r="B33" s="7" t="s">
        <v>328</v>
      </c>
      <c r="C33" s="7" t="s">
        <v>329</v>
      </c>
      <c r="D33" s="7" t="s">
        <v>58</v>
      </c>
      <c r="E33" s="7" t="s">
        <v>92</v>
      </c>
      <c r="F33" s="7" t="s">
        <v>60</v>
      </c>
      <c r="G33" s="7" t="s">
        <v>416</v>
      </c>
      <c r="H33" s="7" t="s">
        <v>417</v>
      </c>
      <c r="I33" s="7" t="s">
        <v>418</v>
      </c>
      <c r="J33" s="7" t="s">
        <v>419</v>
      </c>
      <c r="K33" s="7" t="s">
        <v>347</v>
      </c>
      <c r="L33" s="7" t="s">
        <v>66</v>
      </c>
      <c r="M33" s="7" t="s">
        <v>420</v>
      </c>
      <c r="N33" s="7" t="s">
        <v>421</v>
      </c>
      <c r="O33" s="7" t="s">
        <v>422</v>
      </c>
      <c r="P33" s="7" t="s">
        <v>423</v>
      </c>
      <c r="Q33" s="7" t="s">
        <v>424</v>
      </c>
      <c r="R33" s="7" t="s">
        <v>425</v>
      </c>
      <c r="S33" s="8" t="s">
        <v>426</v>
      </c>
      <c r="T33" s="7" t="str">
        <f t="shared" si="0"/>
        <v>T2</v>
      </c>
    </row>
    <row r="34" spans="1:20" ht="218.5" x14ac:dyDescent="0.35">
      <c r="A34" s="7" t="s">
        <v>427</v>
      </c>
      <c r="B34" s="7" t="s">
        <v>428</v>
      </c>
      <c r="C34" s="7" t="s">
        <v>429</v>
      </c>
      <c r="D34" s="7" t="s">
        <v>430</v>
      </c>
      <c r="E34" s="7" t="s">
        <v>59</v>
      </c>
      <c r="F34" s="7" t="s">
        <v>114</v>
      </c>
      <c r="G34" s="7" t="s">
        <v>431</v>
      </c>
      <c r="H34" s="7" t="s">
        <v>432</v>
      </c>
      <c r="I34" s="7" t="s">
        <v>332</v>
      </c>
      <c r="J34" s="7" t="s">
        <v>333</v>
      </c>
      <c r="K34" s="7" t="s">
        <v>334</v>
      </c>
      <c r="L34" s="7" t="s">
        <v>96</v>
      </c>
      <c r="M34" s="7" t="s">
        <v>433</v>
      </c>
      <c r="N34" s="7" t="s">
        <v>434</v>
      </c>
      <c r="O34" s="7" t="s">
        <v>435</v>
      </c>
      <c r="P34" s="7" t="s">
        <v>436</v>
      </c>
      <c r="Q34" s="7" t="s">
        <v>437</v>
      </c>
      <c r="R34" s="7" t="s">
        <v>438</v>
      </c>
      <c r="S34" s="8" t="s">
        <v>439</v>
      </c>
      <c r="T34" s="7" t="str">
        <f t="shared" ref="T34:T65" si="1">IF(OR(L34="critical",AND(L34="high",OR(K34="IAM",K34="network"))),"T3",IF(OR(L34="high",L34="medium"),"T2","T1"))</f>
        <v>T2</v>
      </c>
    </row>
    <row r="35" spans="1:20" ht="69" x14ac:dyDescent="0.35">
      <c r="A35" s="7" t="s">
        <v>440</v>
      </c>
      <c r="B35" s="7" t="s">
        <v>441</v>
      </c>
      <c r="C35" s="7" t="s">
        <v>442</v>
      </c>
      <c r="D35" s="7" t="s">
        <v>430</v>
      </c>
      <c r="E35" s="7" t="s">
        <v>59</v>
      </c>
      <c r="F35" s="7" t="s">
        <v>60</v>
      </c>
      <c r="G35" s="7" t="s">
        <v>443</v>
      </c>
      <c r="H35" s="7" t="s">
        <v>444</v>
      </c>
      <c r="I35" s="7" t="s">
        <v>332</v>
      </c>
      <c r="J35" s="7" t="s">
        <v>333</v>
      </c>
      <c r="K35" s="7" t="s">
        <v>334</v>
      </c>
      <c r="L35" s="7" t="s">
        <v>96</v>
      </c>
      <c r="M35" s="7" t="s">
        <v>445</v>
      </c>
      <c r="N35" s="7" t="s">
        <v>446</v>
      </c>
      <c r="O35" s="7" t="s">
        <v>447</v>
      </c>
      <c r="P35" s="7"/>
      <c r="Q35" s="7" t="s">
        <v>448</v>
      </c>
      <c r="R35" s="7" t="s">
        <v>449</v>
      </c>
      <c r="S35" s="8" t="s">
        <v>450</v>
      </c>
      <c r="T35" s="7" t="str">
        <f t="shared" si="1"/>
        <v>T2</v>
      </c>
    </row>
    <row r="36" spans="1:20" ht="57.5" x14ac:dyDescent="0.35">
      <c r="A36" s="7" t="s">
        <v>451</v>
      </c>
      <c r="B36" s="7" t="s">
        <v>452</v>
      </c>
      <c r="C36" s="7" t="s">
        <v>453</v>
      </c>
      <c r="D36" s="7" t="s">
        <v>430</v>
      </c>
      <c r="E36" s="7" t="s">
        <v>59</v>
      </c>
      <c r="F36" s="7" t="s">
        <v>60</v>
      </c>
      <c r="G36" s="7" t="s">
        <v>454</v>
      </c>
      <c r="H36" s="7" t="s">
        <v>455</v>
      </c>
      <c r="I36" s="7" t="s">
        <v>456</v>
      </c>
      <c r="J36" s="7" t="s">
        <v>64</v>
      </c>
      <c r="K36" s="7" t="s">
        <v>296</v>
      </c>
      <c r="L36" s="7" t="s">
        <v>96</v>
      </c>
      <c r="M36" s="7" t="s">
        <v>457</v>
      </c>
      <c r="N36" s="7" t="s">
        <v>458</v>
      </c>
      <c r="O36" s="7" t="s">
        <v>459</v>
      </c>
      <c r="P36" s="7" t="s">
        <v>460</v>
      </c>
      <c r="Q36" s="7" t="s">
        <v>461</v>
      </c>
      <c r="R36" s="7" t="s">
        <v>462</v>
      </c>
      <c r="S36" s="8" t="s">
        <v>463</v>
      </c>
      <c r="T36" s="7" t="str">
        <f t="shared" si="1"/>
        <v>T2</v>
      </c>
    </row>
    <row r="37" spans="1:20" ht="92" x14ac:dyDescent="0.35">
      <c r="A37" s="7" t="s">
        <v>464</v>
      </c>
      <c r="B37" s="7" t="s">
        <v>465</v>
      </c>
      <c r="C37" s="7" t="s">
        <v>466</v>
      </c>
      <c r="D37" s="7" t="s">
        <v>430</v>
      </c>
      <c r="E37" s="7" t="s">
        <v>92</v>
      </c>
      <c r="F37" s="7" t="s">
        <v>114</v>
      </c>
      <c r="G37" s="7" t="s">
        <v>467</v>
      </c>
      <c r="H37" s="7" t="s">
        <v>468</v>
      </c>
      <c r="I37" s="7" t="s">
        <v>332</v>
      </c>
      <c r="J37" s="7" t="s">
        <v>333</v>
      </c>
      <c r="K37" s="7" t="s">
        <v>334</v>
      </c>
      <c r="L37" s="7" t="s">
        <v>66</v>
      </c>
      <c r="M37" s="7" t="s">
        <v>469</v>
      </c>
      <c r="N37" s="7" t="s">
        <v>470</v>
      </c>
      <c r="O37" s="7" t="s">
        <v>471</v>
      </c>
      <c r="P37" s="7" t="s">
        <v>472</v>
      </c>
      <c r="Q37" s="7" t="s">
        <v>473</v>
      </c>
      <c r="R37" s="7" t="s">
        <v>474</v>
      </c>
      <c r="S37" s="8" t="s">
        <v>475</v>
      </c>
      <c r="T37" s="7" t="str">
        <f t="shared" si="1"/>
        <v>T2</v>
      </c>
    </row>
    <row r="38" spans="1:20" ht="103.5" x14ac:dyDescent="0.35">
      <c r="A38" s="7" t="s">
        <v>476</v>
      </c>
      <c r="B38" s="7" t="s">
        <v>465</v>
      </c>
      <c r="C38" s="7" t="s">
        <v>466</v>
      </c>
      <c r="D38" s="7" t="s">
        <v>430</v>
      </c>
      <c r="E38" s="7" t="s">
        <v>92</v>
      </c>
      <c r="F38" s="7" t="s">
        <v>114</v>
      </c>
      <c r="G38" s="7" t="s">
        <v>477</v>
      </c>
      <c r="H38" s="7" t="s">
        <v>478</v>
      </c>
      <c r="I38" s="7" t="s">
        <v>332</v>
      </c>
      <c r="J38" s="7" t="s">
        <v>479</v>
      </c>
      <c r="K38" s="7" t="s">
        <v>334</v>
      </c>
      <c r="L38" s="7" t="s">
        <v>66</v>
      </c>
      <c r="M38" s="7" t="s">
        <v>480</v>
      </c>
      <c r="N38" s="7" t="s">
        <v>481</v>
      </c>
      <c r="O38" s="7" t="s">
        <v>482</v>
      </c>
      <c r="P38" s="7" t="s">
        <v>483</v>
      </c>
      <c r="Q38" s="7" t="s">
        <v>484</v>
      </c>
      <c r="R38" s="7" t="s">
        <v>474</v>
      </c>
      <c r="S38" s="8" t="s">
        <v>485</v>
      </c>
      <c r="T38" s="7" t="str">
        <f t="shared" si="1"/>
        <v>T2</v>
      </c>
    </row>
    <row r="39" spans="1:20" ht="126.5" x14ac:dyDescent="0.35">
      <c r="A39" s="7" t="s">
        <v>486</v>
      </c>
      <c r="B39" s="7" t="s">
        <v>487</v>
      </c>
      <c r="C39" s="7" t="s">
        <v>488</v>
      </c>
      <c r="D39" s="7" t="s">
        <v>430</v>
      </c>
      <c r="E39" s="7" t="s">
        <v>92</v>
      </c>
      <c r="F39" s="7" t="s">
        <v>114</v>
      </c>
      <c r="G39" s="7" t="s">
        <v>489</v>
      </c>
      <c r="H39" s="7" t="s">
        <v>490</v>
      </c>
      <c r="I39" s="7" t="s">
        <v>491</v>
      </c>
      <c r="J39" s="7" t="s">
        <v>492</v>
      </c>
      <c r="K39" s="7" t="s">
        <v>493</v>
      </c>
      <c r="L39" s="7" t="s">
        <v>66</v>
      </c>
      <c r="M39" s="7" t="s">
        <v>494</v>
      </c>
      <c r="N39" s="7" t="s">
        <v>495</v>
      </c>
      <c r="O39" s="7" t="s">
        <v>496</v>
      </c>
      <c r="P39" s="7" t="s">
        <v>497</v>
      </c>
      <c r="Q39" s="7"/>
      <c r="R39" s="7" t="s">
        <v>498</v>
      </c>
      <c r="S39" s="8" t="s">
        <v>499</v>
      </c>
      <c r="T39" s="7" t="str">
        <f t="shared" si="1"/>
        <v>T2</v>
      </c>
    </row>
    <row r="40" spans="1:20" ht="115" x14ac:dyDescent="0.35">
      <c r="A40" s="7" t="s">
        <v>500</v>
      </c>
      <c r="B40" s="7" t="s">
        <v>501</v>
      </c>
      <c r="C40" s="7" t="s">
        <v>502</v>
      </c>
      <c r="D40" s="7" t="s">
        <v>430</v>
      </c>
      <c r="E40" s="7" t="s">
        <v>92</v>
      </c>
      <c r="F40" s="7" t="s">
        <v>114</v>
      </c>
      <c r="G40" s="7" t="s">
        <v>503</v>
      </c>
      <c r="H40" s="7" t="s">
        <v>504</v>
      </c>
      <c r="I40" s="7" t="s">
        <v>491</v>
      </c>
      <c r="J40" s="7" t="s">
        <v>492</v>
      </c>
      <c r="K40" s="7" t="s">
        <v>493</v>
      </c>
      <c r="L40" s="7" t="s">
        <v>96</v>
      </c>
      <c r="M40" s="7" t="s">
        <v>505</v>
      </c>
      <c r="N40" s="7" t="s">
        <v>506</v>
      </c>
      <c r="O40" s="7" t="s">
        <v>507</v>
      </c>
      <c r="P40" s="7" t="s">
        <v>508</v>
      </c>
      <c r="Q40" s="7" t="s">
        <v>509</v>
      </c>
      <c r="R40" s="7" t="s">
        <v>510</v>
      </c>
      <c r="S40" s="8" t="s">
        <v>511</v>
      </c>
      <c r="T40" s="7" t="str">
        <f t="shared" si="1"/>
        <v>T2</v>
      </c>
    </row>
    <row r="41" spans="1:20" ht="80.5" x14ac:dyDescent="0.35">
      <c r="A41" s="7" t="s">
        <v>512</v>
      </c>
      <c r="B41" s="7" t="s">
        <v>513</v>
      </c>
      <c r="C41" s="7" t="s">
        <v>514</v>
      </c>
      <c r="D41" s="7" t="s">
        <v>430</v>
      </c>
      <c r="E41" s="7" t="s">
        <v>92</v>
      </c>
      <c r="F41" s="7" t="s">
        <v>114</v>
      </c>
      <c r="G41" s="7" t="s">
        <v>515</v>
      </c>
      <c r="H41" s="7" t="s">
        <v>516</v>
      </c>
      <c r="I41" s="7" t="s">
        <v>491</v>
      </c>
      <c r="J41" s="7" t="s">
        <v>492</v>
      </c>
      <c r="K41" s="7" t="s">
        <v>493</v>
      </c>
      <c r="L41" s="7" t="s">
        <v>80</v>
      </c>
      <c r="M41" s="7" t="s">
        <v>517</v>
      </c>
      <c r="N41" s="7" t="s">
        <v>518</v>
      </c>
      <c r="O41" s="7" t="s">
        <v>519</v>
      </c>
      <c r="P41" s="7" t="s">
        <v>520</v>
      </c>
      <c r="Q41" s="7" t="s">
        <v>521</v>
      </c>
      <c r="R41" s="7" t="s">
        <v>522</v>
      </c>
      <c r="S41" s="8" t="s">
        <v>523</v>
      </c>
      <c r="T41" s="7" t="str">
        <f t="shared" si="1"/>
        <v>T3</v>
      </c>
    </row>
    <row r="42" spans="1:20" ht="184" x14ac:dyDescent="0.35">
      <c r="A42" s="7" t="s">
        <v>524</v>
      </c>
      <c r="B42" s="7" t="s">
        <v>525</v>
      </c>
      <c r="C42" s="7" t="s">
        <v>526</v>
      </c>
      <c r="D42" s="7" t="s">
        <v>430</v>
      </c>
      <c r="E42" s="7" t="s">
        <v>92</v>
      </c>
      <c r="F42" s="7" t="s">
        <v>60</v>
      </c>
      <c r="G42" s="7" t="s">
        <v>527</v>
      </c>
      <c r="H42" s="7" t="s">
        <v>528</v>
      </c>
      <c r="I42" s="7" t="s">
        <v>491</v>
      </c>
      <c r="J42" s="7" t="s">
        <v>529</v>
      </c>
      <c r="K42" s="7" t="s">
        <v>493</v>
      </c>
      <c r="L42" s="7" t="s">
        <v>96</v>
      </c>
      <c r="M42" s="7" t="s">
        <v>530</v>
      </c>
      <c r="N42" s="7" t="s">
        <v>531</v>
      </c>
      <c r="O42" s="7" t="s">
        <v>532</v>
      </c>
      <c r="P42" s="7" t="s">
        <v>533</v>
      </c>
      <c r="Q42" s="7"/>
      <c r="R42" s="7" t="s">
        <v>534</v>
      </c>
      <c r="S42" s="8" t="s">
        <v>535</v>
      </c>
      <c r="T42" s="7" t="str">
        <f t="shared" si="1"/>
        <v>T2</v>
      </c>
    </row>
    <row r="43" spans="1:20" ht="46" x14ac:dyDescent="0.35">
      <c r="A43" s="7" t="s">
        <v>536</v>
      </c>
      <c r="B43" s="7" t="s">
        <v>525</v>
      </c>
      <c r="C43" s="7" t="s">
        <v>526</v>
      </c>
      <c r="D43" s="7" t="s">
        <v>430</v>
      </c>
      <c r="E43" s="7" t="s">
        <v>92</v>
      </c>
      <c r="F43" s="7" t="s">
        <v>60</v>
      </c>
      <c r="G43" s="7" t="s">
        <v>537</v>
      </c>
      <c r="H43" s="7" t="s">
        <v>538</v>
      </c>
      <c r="I43" s="7" t="s">
        <v>491</v>
      </c>
      <c r="J43" s="7" t="s">
        <v>492</v>
      </c>
      <c r="K43" s="7" t="s">
        <v>493</v>
      </c>
      <c r="L43" s="7" t="s">
        <v>96</v>
      </c>
      <c r="M43" s="7" t="s">
        <v>539</v>
      </c>
      <c r="N43" s="7" t="s">
        <v>540</v>
      </c>
      <c r="O43" s="7" t="s">
        <v>541</v>
      </c>
      <c r="P43" s="7" t="s">
        <v>542</v>
      </c>
      <c r="Q43" s="7" t="s">
        <v>543</v>
      </c>
      <c r="R43" s="7" t="s">
        <v>544</v>
      </c>
      <c r="S43" s="8" t="s">
        <v>545</v>
      </c>
      <c r="T43" s="7" t="str">
        <f t="shared" si="1"/>
        <v>T2</v>
      </c>
    </row>
    <row r="44" spans="1:20" ht="69" x14ac:dyDescent="0.35">
      <c r="A44" s="7" t="s">
        <v>546</v>
      </c>
      <c r="B44" s="7" t="s">
        <v>547</v>
      </c>
      <c r="C44" s="7" t="s">
        <v>548</v>
      </c>
      <c r="D44" s="7" t="s">
        <v>430</v>
      </c>
      <c r="E44" s="7" t="s">
        <v>92</v>
      </c>
      <c r="F44" s="7" t="s">
        <v>114</v>
      </c>
      <c r="G44" s="7" t="s">
        <v>549</v>
      </c>
      <c r="H44" s="7" t="s">
        <v>550</v>
      </c>
      <c r="I44" s="7" t="s">
        <v>551</v>
      </c>
      <c r="J44" s="7" t="s">
        <v>552</v>
      </c>
      <c r="K44" s="7" t="s">
        <v>334</v>
      </c>
      <c r="L44" s="7" t="s">
        <v>96</v>
      </c>
      <c r="M44" s="7" t="s">
        <v>553</v>
      </c>
      <c r="N44" s="7" t="s">
        <v>554</v>
      </c>
      <c r="O44" s="7" t="s">
        <v>555</v>
      </c>
      <c r="P44" s="7" t="s">
        <v>556</v>
      </c>
      <c r="Q44" s="7"/>
      <c r="R44" s="7" t="s">
        <v>557</v>
      </c>
      <c r="S44" s="8" t="s">
        <v>558</v>
      </c>
      <c r="T44" s="7" t="str">
        <f t="shared" si="1"/>
        <v>T2</v>
      </c>
    </row>
    <row r="45" spans="1:20" ht="103.5" x14ac:dyDescent="0.35">
      <c r="A45" s="7" t="s">
        <v>559</v>
      </c>
      <c r="B45" s="7" t="s">
        <v>560</v>
      </c>
      <c r="C45" s="7" t="s">
        <v>561</v>
      </c>
      <c r="D45" s="7" t="s">
        <v>562</v>
      </c>
      <c r="E45" s="7" t="s">
        <v>92</v>
      </c>
      <c r="F45" s="7" t="s">
        <v>60</v>
      </c>
      <c r="G45" s="7" t="s">
        <v>563</v>
      </c>
      <c r="H45" s="7" t="s">
        <v>564</v>
      </c>
      <c r="I45" s="7" t="s">
        <v>565</v>
      </c>
      <c r="J45" s="7" t="s">
        <v>566</v>
      </c>
      <c r="K45" s="7" t="s">
        <v>567</v>
      </c>
      <c r="L45" s="7" t="s">
        <v>66</v>
      </c>
      <c r="M45" s="7" t="s">
        <v>568</v>
      </c>
      <c r="N45" s="7" t="s">
        <v>569</v>
      </c>
      <c r="O45" s="7" t="s">
        <v>570</v>
      </c>
      <c r="P45" s="7" t="s">
        <v>571</v>
      </c>
      <c r="Q45" s="7"/>
      <c r="R45" s="7" t="s">
        <v>572</v>
      </c>
      <c r="S45" s="8" t="s">
        <v>573</v>
      </c>
      <c r="T45" s="7" t="str">
        <f t="shared" si="1"/>
        <v>T2</v>
      </c>
    </row>
    <row r="46" spans="1:20" ht="80.5" x14ac:dyDescent="0.35">
      <c r="A46" s="7" t="s">
        <v>574</v>
      </c>
      <c r="B46" s="7" t="s">
        <v>575</v>
      </c>
      <c r="C46" s="7" t="s">
        <v>576</v>
      </c>
      <c r="D46" s="7" t="s">
        <v>562</v>
      </c>
      <c r="E46" s="7" t="s">
        <v>59</v>
      </c>
      <c r="F46" s="7" t="s">
        <v>114</v>
      </c>
      <c r="G46" s="7" t="s">
        <v>577</v>
      </c>
      <c r="H46" s="7" t="s">
        <v>578</v>
      </c>
      <c r="I46" s="7" t="s">
        <v>565</v>
      </c>
      <c r="J46" s="7" t="s">
        <v>566</v>
      </c>
      <c r="K46" s="7" t="s">
        <v>567</v>
      </c>
      <c r="L46" s="7" t="s">
        <v>96</v>
      </c>
      <c r="M46" s="7" t="s">
        <v>579</v>
      </c>
      <c r="N46" s="7" t="s">
        <v>580</v>
      </c>
      <c r="O46" s="7" t="s">
        <v>581</v>
      </c>
      <c r="P46" s="7" t="s">
        <v>582</v>
      </c>
      <c r="Q46" s="7" t="s">
        <v>583</v>
      </c>
      <c r="R46" s="7" t="s">
        <v>584</v>
      </c>
      <c r="S46" s="8" t="s">
        <v>585</v>
      </c>
      <c r="T46" s="7" t="str">
        <f t="shared" si="1"/>
        <v>T2</v>
      </c>
    </row>
    <row r="47" spans="1:20" ht="253" x14ac:dyDescent="0.35">
      <c r="A47" s="7" t="s">
        <v>586</v>
      </c>
      <c r="B47" s="7" t="s">
        <v>587</v>
      </c>
      <c r="C47" s="7" t="s">
        <v>588</v>
      </c>
      <c r="D47" s="7" t="s">
        <v>562</v>
      </c>
      <c r="E47" s="7" t="s">
        <v>59</v>
      </c>
      <c r="F47" s="7" t="s">
        <v>114</v>
      </c>
      <c r="G47" s="7" t="s">
        <v>589</v>
      </c>
      <c r="H47" s="7" t="s">
        <v>590</v>
      </c>
      <c r="I47" s="7" t="s">
        <v>591</v>
      </c>
      <c r="J47" s="7" t="s">
        <v>64</v>
      </c>
      <c r="K47" s="7" t="s">
        <v>567</v>
      </c>
      <c r="L47" s="7" t="s">
        <v>96</v>
      </c>
      <c r="M47" s="7" t="s">
        <v>592</v>
      </c>
      <c r="N47" s="7" t="s">
        <v>593</v>
      </c>
      <c r="O47" s="7" t="s">
        <v>594</v>
      </c>
      <c r="P47" s="7" t="s">
        <v>595</v>
      </c>
      <c r="Q47" s="7"/>
      <c r="R47" s="7" t="s">
        <v>596</v>
      </c>
      <c r="S47" s="8" t="s">
        <v>597</v>
      </c>
      <c r="T47" s="7" t="str">
        <f t="shared" si="1"/>
        <v>T2</v>
      </c>
    </row>
    <row r="48" spans="1:20" ht="161" x14ac:dyDescent="0.35">
      <c r="A48" s="7" t="s">
        <v>598</v>
      </c>
      <c r="B48" s="7" t="s">
        <v>599</v>
      </c>
      <c r="C48" s="7" t="s">
        <v>600</v>
      </c>
      <c r="D48" s="7" t="s">
        <v>562</v>
      </c>
      <c r="E48" s="7" t="s">
        <v>92</v>
      </c>
      <c r="F48" s="7" t="s">
        <v>60</v>
      </c>
      <c r="G48" s="7" t="s">
        <v>601</v>
      </c>
      <c r="H48" s="7" t="s">
        <v>602</v>
      </c>
      <c r="I48" s="7" t="s">
        <v>565</v>
      </c>
      <c r="J48" s="7" t="s">
        <v>566</v>
      </c>
      <c r="K48" s="7" t="s">
        <v>567</v>
      </c>
      <c r="L48" s="7" t="s">
        <v>96</v>
      </c>
      <c r="M48" s="7" t="s">
        <v>603</v>
      </c>
      <c r="N48" s="7" t="s">
        <v>604</v>
      </c>
      <c r="O48" s="7" t="s">
        <v>605</v>
      </c>
      <c r="P48" s="7" t="s">
        <v>606</v>
      </c>
      <c r="Q48" s="7" t="s">
        <v>607</v>
      </c>
      <c r="R48" s="7" t="s">
        <v>608</v>
      </c>
      <c r="S48" s="8" t="s">
        <v>609</v>
      </c>
      <c r="T48" s="7" t="str">
        <f t="shared" si="1"/>
        <v>T2</v>
      </c>
    </row>
    <row r="49" spans="1:20" ht="80.5" x14ac:dyDescent="0.35">
      <c r="A49" s="7" t="s">
        <v>610</v>
      </c>
      <c r="B49" s="7" t="s">
        <v>611</v>
      </c>
      <c r="C49" s="7" t="s">
        <v>612</v>
      </c>
      <c r="D49" s="7" t="s">
        <v>562</v>
      </c>
      <c r="E49" s="7" t="s">
        <v>59</v>
      </c>
      <c r="F49" s="7" t="s">
        <v>114</v>
      </c>
      <c r="G49" s="7" t="s">
        <v>613</v>
      </c>
      <c r="H49" s="7" t="s">
        <v>614</v>
      </c>
      <c r="I49" s="7" t="s">
        <v>565</v>
      </c>
      <c r="J49" s="7" t="s">
        <v>566</v>
      </c>
      <c r="K49" s="7" t="s">
        <v>567</v>
      </c>
      <c r="L49" s="7" t="s">
        <v>96</v>
      </c>
      <c r="M49" s="7" t="s">
        <v>615</v>
      </c>
      <c r="N49" s="7" t="s">
        <v>616</v>
      </c>
      <c r="O49" s="7" t="s">
        <v>617</v>
      </c>
      <c r="P49" s="7" t="s">
        <v>618</v>
      </c>
      <c r="Q49" s="7" t="s">
        <v>619</v>
      </c>
      <c r="R49" s="7" t="s">
        <v>620</v>
      </c>
      <c r="S49" s="8" t="s">
        <v>621</v>
      </c>
      <c r="T49" s="7" t="str">
        <f t="shared" si="1"/>
        <v>T2</v>
      </c>
    </row>
    <row r="50" spans="1:20" ht="57.5" x14ac:dyDescent="0.35">
      <c r="A50" s="7" t="s">
        <v>622</v>
      </c>
      <c r="B50" s="7" t="s">
        <v>623</v>
      </c>
      <c r="C50" s="7" t="s">
        <v>624</v>
      </c>
      <c r="D50" s="7" t="s">
        <v>562</v>
      </c>
      <c r="E50" s="7" t="s">
        <v>59</v>
      </c>
      <c r="F50" s="7" t="s">
        <v>114</v>
      </c>
      <c r="G50" s="7" t="s">
        <v>625</v>
      </c>
      <c r="H50" s="7" t="s">
        <v>626</v>
      </c>
      <c r="I50" s="7" t="s">
        <v>383</v>
      </c>
      <c r="J50" s="7" t="s">
        <v>384</v>
      </c>
      <c r="K50" s="7" t="s">
        <v>296</v>
      </c>
      <c r="L50" s="7" t="s">
        <v>66</v>
      </c>
      <c r="M50" s="7" t="s">
        <v>627</v>
      </c>
      <c r="N50" s="7" t="s">
        <v>628</v>
      </c>
      <c r="O50" s="7" t="s">
        <v>629</v>
      </c>
      <c r="P50" s="7" t="s">
        <v>630</v>
      </c>
      <c r="Q50" s="7" t="s">
        <v>631</v>
      </c>
      <c r="R50" s="7" t="s">
        <v>632</v>
      </c>
      <c r="S50" s="8" t="s">
        <v>633</v>
      </c>
      <c r="T50" s="7" t="str">
        <f t="shared" si="1"/>
        <v>T2</v>
      </c>
    </row>
    <row r="51" spans="1:20" ht="126.5" x14ac:dyDescent="0.35">
      <c r="A51" s="7" t="s">
        <v>634</v>
      </c>
      <c r="B51" s="7" t="s">
        <v>635</v>
      </c>
      <c r="C51" s="7" t="s">
        <v>636</v>
      </c>
      <c r="D51" s="7" t="s">
        <v>562</v>
      </c>
      <c r="E51" s="7" t="s">
        <v>59</v>
      </c>
      <c r="F51" s="7" t="s">
        <v>114</v>
      </c>
      <c r="G51" s="7" t="s">
        <v>637</v>
      </c>
      <c r="H51" s="7" t="s">
        <v>638</v>
      </c>
      <c r="I51" s="7" t="s">
        <v>639</v>
      </c>
      <c r="J51" s="7" t="s">
        <v>640</v>
      </c>
      <c r="K51" s="7" t="s">
        <v>641</v>
      </c>
      <c r="L51" s="7" t="s">
        <v>96</v>
      </c>
      <c r="M51" s="7" t="s">
        <v>642</v>
      </c>
      <c r="N51" s="7" t="s">
        <v>643</v>
      </c>
      <c r="O51" s="7" t="s">
        <v>644</v>
      </c>
      <c r="P51" s="7" t="s">
        <v>645</v>
      </c>
      <c r="Q51" s="7" t="s">
        <v>646</v>
      </c>
      <c r="R51" s="7" t="s">
        <v>647</v>
      </c>
      <c r="S51" s="8" t="s">
        <v>648</v>
      </c>
      <c r="T51" s="7" t="str">
        <f t="shared" si="1"/>
        <v>T2</v>
      </c>
    </row>
    <row r="52" spans="1:20" ht="149.5" x14ac:dyDescent="0.35">
      <c r="A52" s="7" t="s">
        <v>649</v>
      </c>
      <c r="B52" s="7" t="s">
        <v>650</v>
      </c>
      <c r="C52" s="7" t="s">
        <v>651</v>
      </c>
      <c r="D52" s="7" t="s">
        <v>562</v>
      </c>
      <c r="E52" s="7" t="s">
        <v>59</v>
      </c>
      <c r="F52" s="7" t="s">
        <v>114</v>
      </c>
      <c r="G52" s="7" t="s">
        <v>652</v>
      </c>
      <c r="H52" s="7" t="s">
        <v>653</v>
      </c>
      <c r="I52" s="7" t="s">
        <v>565</v>
      </c>
      <c r="J52" s="7" t="s">
        <v>566</v>
      </c>
      <c r="K52" s="7" t="s">
        <v>567</v>
      </c>
      <c r="L52" s="7" t="s">
        <v>225</v>
      </c>
      <c r="M52" s="7" t="s">
        <v>654</v>
      </c>
      <c r="N52" s="7" t="s">
        <v>655</v>
      </c>
      <c r="O52" s="7" t="s">
        <v>656</v>
      </c>
      <c r="P52" s="7" t="s">
        <v>657</v>
      </c>
      <c r="Q52" s="7" t="s">
        <v>658</v>
      </c>
      <c r="R52" s="7" t="s">
        <v>659</v>
      </c>
      <c r="S52" s="8" t="s">
        <v>660</v>
      </c>
      <c r="T52" s="7" t="str">
        <f t="shared" si="1"/>
        <v>T1</v>
      </c>
    </row>
    <row r="53" spans="1:20" ht="195.5" x14ac:dyDescent="0.35">
      <c r="A53" s="7" t="s">
        <v>661</v>
      </c>
      <c r="B53" s="7" t="s">
        <v>662</v>
      </c>
      <c r="C53" s="7" t="s">
        <v>663</v>
      </c>
      <c r="D53" s="7" t="s">
        <v>562</v>
      </c>
      <c r="E53" s="7" t="s">
        <v>59</v>
      </c>
      <c r="F53" s="7" t="s">
        <v>114</v>
      </c>
      <c r="G53" s="7" t="s">
        <v>664</v>
      </c>
      <c r="H53" s="7" t="s">
        <v>665</v>
      </c>
      <c r="I53" s="7" t="s">
        <v>565</v>
      </c>
      <c r="J53" s="7" t="s">
        <v>566</v>
      </c>
      <c r="K53" s="7" t="s">
        <v>567</v>
      </c>
      <c r="L53" s="7" t="s">
        <v>225</v>
      </c>
      <c r="M53" s="7" t="s">
        <v>666</v>
      </c>
      <c r="N53" s="7" t="s">
        <v>655</v>
      </c>
      <c r="O53" s="7" t="s">
        <v>656</v>
      </c>
      <c r="P53" s="7" t="s">
        <v>667</v>
      </c>
      <c r="Q53" s="7" t="s">
        <v>668</v>
      </c>
      <c r="R53" s="7" t="s">
        <v>669</v>
      </c>
      <c r="S53" s="8" t="s">
        <v>670</v>
      </c>
      <c r="T53" s="7" t="str">
        <f t="shared" si="1"/>
        <v>T1</v>
      </c>
    </row>
    <row r="54" spans="1:20" ht="115" x14ac:dyDescent="0.35">
      <c r="A54" s="7" t="s">
        <v>671</v>
      </c>
      <c r="B54" s="7" t="s">
        <v>672</v>
      </c>
      <c r="C54" s="7" t="s">
        <v>673</v>
      </c>
      <c r="D54" s="7" t="s">
        <v>562</v>
      </c>
      <c r="E54" s="7" t="s">
        <v>92</v>
      </c>
      <c r="F54" s="7" t="s">
        <v>60</v>
      </c>
      <c r="G54" s="7" t="s">
        <v>674</v>
      </c>
      <c r="H54" s="7" t="s">
        <v>675</v>
      </c>
      <c r="I54" s="7" t="s">
        <v>676</v>
      </c>
      <c r="J54" s="7" t="s">
        <v>677</v>
      </c>
      <c r="K54" s="7" t="s">
        <v>641</v>
      </c>
      <c r="L54" s="7" t="s">
        <v>96</v>
      </c>
      <c r="M54" s="7" t="s">
        <v>678</v>
      </c>
      <c r="N54" s="7" t="s">
        <v>679</v>
      </c>
      <c r="O54" s="7" t="s">
        <v>680</v>
      </c>
      <c r="P54" s="7" t="s">
        <v>681</v>
      </c>
      <c r="Q54" s="7" t="s">
        <v>682</v>
      </c>
      <c r="R54" s="7" t="s">
        <v>683</v>
      </c>
      <c r="S54" s="8" t="s">
        <v>684</v>
      </c>
      <c r="T54" s="7" t="str">
        <f t="shared" si="1"/>
        <v>T2</v>
      </c>
    </row>
    <row r="55" spans="1:20" ht="149.5" x14ac:dyDescent="0.35">
      <c r="A55" s="7" t="s">
        <v>685</v>
      </c>
      <c r="B55" s="7" t="s">
        <v>672</v>
      </c>
      <c r="C55" s="7" t="s">
        <v>673</v>
      </c>
      <c r="D55" s="7" t="s">
        <v>562</v>
      </c>
      <c r="E55" s="7" t="s">
        <v>92</v>
      </c>
      <c r="F55" s="7" t="s">
        <v>60</v>
      </c>
      <c r="G55" s="7" t="s">
        <v>686</v>
      </c>
      <c r="H55" s="7" t="s">
        <v>687</v>
      </c>
      <c r="I55" s="7" t="s">
        <v>688</v>
      </c>
      <c r="J55" s="7" t="s">
        <v>689</v>
      </c>
      <c r="K55" s="7" t="s">
        <v>641</v>
      </c>
      <c r="L55" s="7" t="s">
        <v>96</v>
      </c>
      <c r="M55" s="7" t="s">
        <v>690</v>
      </c>
      <c r="N55" s="7" t="s">
        <v>691</v>
      </c>
      <c r="O55" s="7" t="s">
        <v>692</v>
      </c>
      <c r="P55" s="7" t="s">
        <v>693</v>
      </c>
      <c r="Q55" s="7" t="s">
        <v>694</v>
      </c>
      <c r="R55" s="7" t="s">
        <v>695</v>
      </c>
      <c r="S55" s="8" t="s">
        <v>696</v>
      </c>
      <c r="T55" s="7" t="str">
        <f t="shared" si="1"/>
        <v>T2</v>
      </c>
    </row>
    <row r="56" spans="1:20" ht="126.5" x14ac:dyDescent="0.35">
      <c r="A56" s="7" t="s">
        <v>697</v>
      </c>
      <c r="B56" s="7" t="s">
        <v>672</v>
      </c>
      <c r="C56" s="7" t="s">
        <v>673</v>
      </c>
      <c r="D56" s="7" t="s">
        <v>562</v>
      </c>
      <c r="E56" s="7" t="s">
        <v>92</v>
      </c>
      <c r="F56" s="7" t="s">
        <v>60</v>
      </c>
      <c r="G56" s="7" t="s">
        <v>698</v>
      </c>
      <c r="H56" s="7" t="s">
        <v>699</v>
      </c>
      <c r="I56" s="7" t="s">
        <v>700</v>
      </c>
      <c r="J56" s="7" t="s">
        <v>701</v>
      </c>
      <c r="K56" s="7" t="s">
        <v>702</v>
      </c>
      <c r="L56" s="7" t="s">
        <v>96</v>
      </c>
      <c r="M56" s="7" t="s">
        <v>703</v>
      </c>
      <c r="N56" s="7" t="s">
        <v>704</v>
      </c>
      <c r="O56" s="7" t="s">
        <v>705</v>
      </c>
      <c r="P56" s="7" t="s">
        <v>706</v>
      </c>
      <c r="Q56" s="7" t="s">
        <v>707</v>
      </c>
      <c r="R56" s="7" t="s">
        <v>708</v>
      </c>
      <c r="S56" s="8" t="s">
        <v>709</v>
      </c>
      <c r="T56" s="7" t="str">
        <f t="shared" si="1"/>
        <v>T2</v>
      </c>
    </row>
    <row r="57" spans="1:20" ht="138" x14ac:dyDescent="0.35">
      <c r="A57" s="7" t="s">
        <v>710</v>
      </c>
      <c r="B57" s="7" t="s">
        <v>672</v>
      </c>
      <c r="C57" s="7" t="s">
        <v>673</v>
      </c>
      <c r="D57" s="7" t="s">
        <v>562</v>
      </c>
      <c r="E57" s="7" t="s">
        <v>92</v>
      </c>
      <c r="F57" s="7" t="s">
        <v>60</v>
      </c>
      <c r="G57" s="7" t="s">
        <v>711</v>
      </c>
      <c r="H57" s="7" t="s">
        <v>712</v>
      </c>
      <c r="I57" s="7" t="s">
        <v>713</v>
      </c>
      <c r="J57" s="7" t="s">
        <v>714</v>
      </c>
      <c r="K57" s="7" t="s">
        <v>702</v>
      </c>
      <c r="L57" s="7" t="s">
        <v>96</v>
      </c>
      <c r="M57" s="7" t="s">
        <v>715</v>
      </c>
      <c r="N57" s="7" t="s">
        <v>716</v>
      </c>
      <c r="O57" s="7" t="s">
        <v>717</v>
      </c>
      <c r="P57" s="7" t="s">
        <v>718</v>
      </c>
      <c r="Q57" s="7" t="s">
        <v>719</v>
      </c>
      <c r="R57" s="7" t="s">
        <v>720</v>
      </c>
      <c r="S57" s="8" t="s">
        <v>721</v>
      </c>
      <c r="T57" s="7" t="str">
        <f t="shared" si="1"/>
        <v>T2</v>
      </c>
    </row>
    <row r="58" spans="1:20" ht="287.5" x14ac:dyDescent="0.35">
      <c r="A58" s="7" t="s">
        <v>722</v>
      </c>
      <c r="B58" s="7" t="s">
        <v>723</v>
      </c>
      <c r="C58" s="7" t="s">
        <v>724</v>
      </c>
      <c r="D58" s="7" t="s">
        <v>725</v>
      </c>
      <c r="E58" s="7" t="s">
        <v>59</v>
      </c>
      <c r="F58" s="7" t="s">
        <v>60</v>
      </c>
      <c r="G58" s="7" t="s">
        <v>726</v>
      </c>
      <c r="H58" s="7" t="s">
        <v>727</v>
      </c>
      <c r="I58" s="7" t="s">
        <v>728</v>
      </c>
      <c r="J58" s="7" t="s">
        <v>729</v>
      </c>
      <c r="K58" s="7" t="s">
        <v>567</v>
      </c>
      <c r="L58" s="7" t="s">
        <v>96</v>
      </c>
      <c r="M58" s="7" t="s">
        <v>730</v>
      </c>
      <c r="N58" s="7" t="s">
        <v>731</v>
      </c>
      <c r="O58" s="7"/>
      <c r="P58" s="7" t="s">
        <v>732</v>
      </c>
      <c r="Q58" s="7"/>
      <c r="R58" s="7" t="s">
        <v>733</v>
      </c>
      <c r="S58" s="8" t="s">
        <v>734</v>
      </c>
      <c r="T58" s="7" t="str">
        <f t="shared" si="1"/>
        <v>T2</v>
      </c>
    </row>
    <row r="59" spans="1:20" ht="345" x14ac:dyDescent="0.35">
      <c r="A59" s="7" t="s">
        <v>735</v>
      </c>
      <c r="B59" s="7" t="s">
        <v>736</v>
      </c>
      <c r="C59" s="7" t="s">
        <v>737</v>
      </c>
      <c r="D59" s="7" t="s">
        <v>725</v>
      </c>
      <c r="E59" s="7" t="s">
        <v>92</v>
      </c>
      <c r="F59" s="7" t="s">
        <v>60</v>
      </c>
      <c r="G59" s="7" t="s">
        <v>738</v>
      </c>
      <c r="H59" s="7" t="s">
        <v>739</v>
      </c>
      <c r="I59" s="7" t="s">
        <v>728</v>
      </c>
      <c r="J59" s="7" t="s">
        <v>729</v>
      </c>
      <c r="K59" s="7" t="s">
        <v>567</v>
      </c>
      <c r="L59" s="7" t="s">
        <v>96</v>
      </c>
      <c r="M59" s="7" t="s">
        <v>740</v>
      </c>
      <c r="N59" s="7" t="s">
        <v>731</v>
      </c>
      <c r="O59" s="7"/>
      <c r="P59" s="7" t="s">
        <v>741</v>
      </c>
      <c r="Q59" s="7"/>
      <c r="R59" s="7" t="s">
        <v>733</v>
      </c>
      <c r="S59" s="8" t="s">
        <v>742</v>
      </c>
      <c r="T59" s="7" t="str">
        <f t="shared" si="1"/>
        <v>T2</v>
      </c>
    </row>
    <row r="60" spans="1:20" ht="333.5" x14ac:dyDescent="0.35">
      <c r="A60" s="7" t="s">
        <v>743</v>
      </c>
      <c r="B60" s="7" t="s">
        <v>744</v>
      </c>
      <c r="C60" s="7" t="s">
        <v>745</v>
      </c>
      <c r="D60" s="7" t="s">
        <v>725</v>
      </c>
      <c r="E60" s="7" t="s">
        <v>92</v>
      </c>
      <c r="F60" s="7" t="s">
        <v>60</v>
      </c>
      <c r="G60" s="7" t="s">
        <v>746</v>
      </c>
      <c r="H60" s="7" t="s">
        <v>747</v>
      </c>
      <c r="I60" s="7" t="s">
        <v>728</v>
      </c>
      <c r="J60" s="7" t="s">
        <v>729</v>
      </c>
      <c r="K60" s="7" t="s">
        <v>567</v>
      </c>
      <c r="L60" s="7" t="s">
        <v>96</v>
      </c>
      <c r="M60" s="7" t="s">
        <v>748</v>
      </c>
      <c r="N60" s="7" t="s">
        <v>731</v>
      </c>
      <c r="O60" s="7"/>
      <c r="P60" s="7" t="s">
        <v>749</v>
      </c>
      <c r="Q60" s="7"/>
      <c r="R60" s="7" t="s">
        <v>750</v>
      </c>
      <c r="S60" s="8" t="s">
        <v>751</v>
      </c>
      <c r="T60" s="7" t="str">
        <f t="shared" si="1"/>
        <v>T2</v>
      </c>
    </row>
    <row r="61" spans="1:20" ht="409.5" x14ac:dyDescent="0.35">
      <c r="A61" s="7" t="s">
        <v>752</v>
      </c>
      <c r="B61" s="7" t="s">
        <v>753</v>
      </c>
      <c r="C61" s="7" t="s">
        <v>754</v>
      </c>
      <c r="D61" s="7" t="s">
        <v>725</v>
      </c>
      <c r="E61" s="7" t="s">
        <v>92</v>
      </c>
      <c r="F61" s="7" t="s">
        <v>60</v>
      </c>
      <c r="G61" s="7" t="s">
        <v>755</v>
      </c>
      <c r="H61" s="7" t="s">
        <v>756</v>
      </c>
      <c r="I61" s="7" t="s">
        <v>728</v>
      </c>
      <c r="J61" s="7" t="s">
        <v>729</v>
      </c>
      <c r="K61" s="7" t="s">
        <v>567</v>
      </c>
      <c r="L61" s="7" t="s">
        <v>96</v>
      </c>
      <c r="M61" s="7" t="s">
        <v>757</v>
      </c>
      <c r="N61" s="7" t="s">
        <v>731</v>
      </c>
      <c r="O61" s="7"/>
      <c r="P61" s="7" t="s">
        <v>758</v>
      </c>
      <c r="Q61" s="7"/>
      <c r="R61" s="7" t="s">
        <v>733</v>
      </c>
      <c r="S61" s="8" t="s">
        <v>759</v>
      </c>
      <c r="T61" s="7" t="str">
        <f t="shared" si="1"/>
        <v>T2</v>
      </c>
    </row>
    <row r="62" spans="1:20" ht="310.5" x14ac:dyDescent="0.35">
      <c r="A62" s="7" t="s">
        <v>760</v>
      </c>
      <c r="B62" s="7" t="s">
        <v>761</v>
      </c>
      <c r="C62" s="7" t="s">
        <v>762</v>
      </c>
      <c r="D62" s="7" t="s">
        <v>725</v>
      </c>
      <c r="E62" s="7" t="s">
        <v>92</v>
      </c>
      <c r="F62" s="7" t="s">
        <v>60</v>
      </c>
      <c r="G62" s="7" t="s">
        <v>763</v>
      </c>
      <c r="H62" s="7" t="s">
        <v>764</v>
      </c>
      <c r="I62" s="7" t="s">
        <v>728</v>
      </c>
      <c r="J62" s="7" t="s">
        <v>729</v>
      </c>
      <c r="K62" s="7" t="s">
        <v>567</v>
      </c>
      <c r="L62" s="7" t="s">
        <v>96</v>
      </c>
      <c r="M62" s="7" t="s">
        <v>765</v>
      </c>
      <c r="N62" s="7" t="s">
        <v>731</v>
      </c>
      <c r="O62" s="7"/>
      <c r="P62" s="7" t="s">
        <v>766</v>
      </c>
      <c r="Q62" s="7"/>
      <c r="R62" s="7" t="s">
        <v>733</v>
      </c>
      <c r="S62" s="8" t="s">
        <v>767</v>
      </c>
      <c r="T62" s="7" t="str">
        <f t="shared" si="1"/>
        <v>T2</v>
      </c>
    </row>
    <row r="63" spans="1:20" ht="345" x14ac:dyDescent="0.35">
      <c r="A63" s="7" t="s">
        <v>768</v>
      </c>
      <c r="B63" s="7" t="s">
        <v>769</v>
      </c>
      <c r="C63" s="7" t="s">
        <v>770</v>
      </c>
      <c r="D63" s="7" t="s">
        <v>725</v>
      </c>
      <c r="E63" s="7" t="s">
        <v>59</v>
      </c>
      <c r="F63" s="7" t="s">
        <v>60</v>
      </c>
      <c r="G63" s="7" t="s">
        <v>771</v>
      </c>
      <c r="H63" s="7" t="s">
        <v>772</v>
      </c>
      <c r="I63" s="7" t="s">
        <v>728</v>
      </c>
      <c r="J63" s="7" t="s">
        <v>729</v>
      </c>
      <c r="K63" s="7" t="s">
        <v>567</v>
      </c>
      <c r="L63" s="7" t="s">
        <v>96</v>
      </c>
      <c r="M63" s="7" t="s">
        <v>773</v>
      </c>
      <c r="N63" s="7" t="s">
        <v>731</v>
      </c>
      <c r="O63" s="7"/>
      <c r="P63" s="7" t="s">
        <v>774</v>
      </c>
      <c r="Q63" s="7"/>
      <c r="R63" s="7" t="s">
        <v>733</v>
      </c>
      <c r="S63" s="8" t="s">
        <v>775</v>
      </c>
      <c r="T63" s="7" t="str">
        <f t="shared" si="1"/>
        <v>T2</v>
      </c>
    </row>
    <row r="64" spans="1:20" ht="356.5" x14ac:dyDescent="0.35">
      <c r="A64" s="7" t="s">
        <v>776</v>
      </c>
      <c r="B64" s="7" t="s">
        <v>777</v>
      </c>
      <c r="C64" s="7" t="s">
        <v>778</v>
      </c>
      <c r="D64" s="7" t="s">
        <v>725</v>
      </c>
      <c r="E64" s="7" t="s">
        <v>59</v>
      </c>
      <c r="F64" s="7" t="s">
        <v>60</v>
      </c>
      <c r="G64" s="7" t="s">
        <v>779</v>
      </c>
      <c r="H64" s="7" t="s">
        <v>780</v>
      </c>
      <c r="I64" s="7" t="s">
        <v>728</v>
      </c>
      <c r="J64" s="7" t="s">
        <v>729</v>
      </c>
      <c r="K64" s="7" t="s">
        <v>567</v>
      </c>
      <c r="L64" s="7" t="s">
        <v>96</v>
      </c>
      <c r="M64" s="7" t="s">
        <v>781</v>
      </c>
      <c r="N64" s="7" t="s">
        <v>731</v>
      </c>
      <c r="O64" s="7"/>
      <c r="P64" s="7" t="s">
        <v>782</v>
      </c>
      <c r="Q64" s="7"/>
      <c r="R64" s="7" t="s">
        <v>783</v>
      </c>
      <c r="S64" s="8" t="s">
        <v>784</v>
      </c>
      <c r="T64" s="7" t="str">
        <f t="shared" si="1"/>
        <v>T2</v>
      </c>
    </row>
    <row r="65" spans="1:20" ht="409.5" x14ac:dyDescent="0.35">
      <c r="A65" s="7" t="s">
        <v>785</v>
      </c>
      <c r="B65" s="7" t="s">
        <v>786</v>
      </c>
      <c r="C65" s="7" t="s">
        <v>787</v>
      </c>
      <c r="D65" s="7" t="s">
        <v>725</v>
      </c>
      <c r="E65" s="7" t="s">
        <v>92</v>
      </c>
      <c r="F65" s="7" t="s">
        <v>60</v>
      </c>
      <c r="G65" s="7" t="s">
        <v>788</v>
      </c>
      <c r="H65" s="7" t="s">
        <v>789</v>
      </c>
      <c r="I65" s="7" t="s">
        <v>728</v>
      </c>
      <c r="J65" s="7" t="s">
        <v>729</v>
      </c>
      <c r="K65" s="7" t="s">
        <v>567</v>
      </c>
      <c r="L65" s="7" t="s">
        <v>96</v>
      </c>
      <c r="M65" s="7" t="s">
        <v>790</v>
      </c>
      <c r="N65" s="7" t="s">
        <v>731</v>
      </c>
      <c r="O65" s="7"/>
      <c r="P65" s="7" t="s">
        <v>791</v>
      </c>
      <c r="Q65" s="7"/>
      <c r="R65" s="7" t="s">
        <v>733</v>
      </c>
      <c r="S65" s="8" t="s">
        <v>792</v>
      </c>
      <c r="T65" s="7" t="str">
        <f t="shared" si="1"/>
        <v>T2</v>
      </c>
    </row>
    <row r="66" spans="1:20" ht="345" x14ac:dyDescent="0.35">
      <c r="A66" s="7" t="s">
        <v>793</v>
      </c>
      <c r="B66" s="7" t="s">
        <v>794</v>
      </c>
      <c r="C66" s="7" t="s">
        <v>795</v>
      </c>
      <c r="D66" s="7" t="s">
        <v>725</v>
      </c>
      <c r="E66" s="7" t="s">
        <v>59</v>
      </c>
      <c r="F66" s="7" t="s">
        <v>60</v>
      </c>
      <c r="G66" s="7" t="s">
        <v>796</v>
      </c>
      <c r="H66" s="7" t="s">
        <v>797</v>
      </c>
      <c r="I66" s="7" t="s">
        <v>728</v>
      </c>
      <c r="J66" s="7" t="s">
        <v>729</v>
      </c>
      <c r="K66" s="7" t="s">
        <v>567</v>
      </c>
      <c r="L66" s="7" t="s">
        <v>96</v>
      </c>
      <c r="M66" s="7" t="s">
        <v>798</v>
      </c>
      <c r="N66" s="7" t="s">
        <v>731</v>
      </c>
      <c r="O66" s="7"/>
      <c r="P66" s="7" t="s">
        <v>799</v>
      </c>
      <c r="Q66" s="7"/>
      <c r="R66" s="7" t="s">
        <v>733</v>
      </c>
      <c r="S66" s="8" t="s">
        <v>800</v>
      </c>
      <c r="T66" s="7" t="str">
        <f t="shared" ref="T66:T87" si="2">IF(OR(L66="critical",AND(L66="high",OR(K66="IAM",K66="network"))),"T3",IF(OR(L66="high",L66="medium"),"T2","T1"))</f>
        <v>T2</v>
      </c>
    </row>
    <row r="67" spans="1:20" ht="356.5" x14ac:dyDescent="0.35">
      <c r="A67" s="7" t="s">
        <v>801</v>
      </c>
      <c r="B67" s="7" t="s">
        <v>802</v>
      </c>
      <c r="C67" s="7" t="s">
        <v>803</v>
      </c>
      <c r="D67" s="7" t="s">
        <v>725</v>
      </c>
      <c r="E67" s="7" t="s">
        <v>59</v>
      </c>
      <c r="F67" s="7" t="s">
        <v>60</v>
      </c>
      <c r="G67" s="7" t="s">
        <v>804</v>
      </c>
      <c r="H67" s="7" t="s">
        <v>805</v>
      </c>
      <c r="I67" s="7" t="s">
        <v>728</v>
      </c>
      <c r="J67" s="7" t="s">
        <v>729</v>
      </c>
      <c r="K67" s="7" t="s">
        <v>567</v>
      </c>
      <c r="L67" s="7" t="s">
        <v>96</v>
      </c>
      <c r="M67" s="7" t="s">
        <v>806</v>
      </c>
      <c r="N67" s="7" t="s">
        <v>731</v>
      </c>
      <c r="O67" s="7"/>
      <c r="P67" s="7" t="s">
        <v>807</v>
      </c>
      <c r="Q67" s="7"/>
      <c r="R67" s="7" t="s">
        <v>808</v>
      </c>
      <c r="S67" s="8" t="s">
        <v>809</v>
      </c>
      <c r="T67" s="7" t="str">
        <f t="shared" si="2"/>
        <v>T2</v>
      </c>
    </row>
    <row r="68" spans="1:20" ht="345" x14ac:dyDescent="0.35">
      <c r="A68" s="7" t="s">
        <v>810</v>
      </c>
      <c r="B68" s="7" t="s">
        <v>811</v>
      </c>
      <c r="C68" s="7" t="s">
        <v>812</v>
      </c>
      <c r="D68" s="7" t="s">
        <v>725</v>
      </c>
      <c r="E68" s="7" t="s">
        <v>59</v>
      </c>
      <c r="F68" s="7" t="s">
        <v>60</v>
      </c>
      <c r="G68" s="7" t="s">
        <v>813</v>
      </c>
      <c r="H68" s="7" t="s">
        <v>814</v>
      </c>
      <c r="I68" s="7" t="s">
        <v>728</v>
      </c>
      <c r="J68" s="7" t="s">
        <v>729</v>
      </c>
      <c r="K68" s="7" t="s">
        <v>567</v>
      </c>
      <c r="L68" s="7" t="s">
        <v>96</v>
      </c>
      <c r="M68" s="7" t="s">
        <v>815</v>
      </c>
      <c r="N68" s="7" t="s">
        <v>731</v>
      </c>
      <c r="O68" s="7"/>
      <c r="P68" s="7" t="s">
        <v>816</v>
      </c>
      <c r="Q68" s="7"/>
      <c r="R68" s="7" t="s">
        <v>733</v>
      </c>
      <c r="S68" s="8" t="s">
        <v>817</v>
      </c>
      <c r="T68" s="7" t="str">
        <f t="shared" si="2"/>
        <v>T2</v>
      </c>
    </row>
    <row r="69" spans="1:20" ht="379.5" x14ac:dyDescent="0.35">
      <c r="A69" s="7" t="s">
        <v>818</v>
      </c>
      <c r="B69" s="7" t="s">
        <v>819</v>
      </c>
      <c r="C69" s="7" t="s">
        <v>820</v>
      </c>
      <c r="D69" s="7" t="s">
        <v>725</v>
      </c>
      <c r="E69" s="7" t="s">
        <v>92</v>
      </c>
      <c r="F69" s="7" t="s">
        <v>60</v>
      </c>
      <c r="G69" s="7" t="s">
        <v>821</v>
      </c>
      <c r="H69" s="7" t="s">
        <v>822</v>
      </c>
      <c r="I69" s="7" t="s">
        <v>728</v>
      </c>
      <c r="J69" s="7" t="s">
        <v>729</v>
      </c>
      <c r="K69" s="7" t="s">
        <v>567</v>
      </c>
      <c r="L69" s="7" t="s">
        <v>96</v>
      </c>
      <c r="M69" s="7" t="s">
        <v>823</v>
      </c>
      <c r="N69" s="7" t="s">
        <v>731</v>
      </c>
      <c r="O69" s="7"/>
      <c r="P69" s="7" t="s">
        <v>824</v>
      </c>
      <c r="Q69" s="7"/>
      <c r="R69" s="7" t="s">
        <v>825</v>
      </c>
      <c r="S69" s="8" t="s">
        <v>826</v>
      </c>
      <c r="T69" s="7" t="str">
        <f t="shared" si="2"/>
        <v>T2</v>
      </c>
    </row>
    <row r="70" spans="1:20" ht="356.5" x14ac:dyDescent="0.35">
      <c r="A70" s="7" t="s">
        <v>827</v>
      </c>
      <c r="B70" s="7" t="s">
        <v>828</v>
      </c>
      <c r="C70" s="7" t="s">
        <v>829</v>
      </c>
      <c r="D70" s="7" t="s">
        <v>725</v>
      </c>
      <c r="E70" s="7" t="s">
        <v>92</v>
      </c>
      <c r="F70" s="7" t="s">
        <v>60</v>
      </c>
      <c r="G70" s="7" t="s">
        <v>830</v>
      </c>
      <c r="H70" s="7" t="s">
        <v>831</v>
      </c>
      <c r="I70" s="7" t="s">
        <v>728</v>
      </c>
      <c r="J70" s="7" t="s">
        <v>729</v>
      </c>
      <c r="K70" s="7" t="s">
        <v>567</v>
      </c>
      <c r="L70" s="7" t="s">
        <v>96</v>
      </c>
      <c r="M70" s="7" t="s">
        <v>832</v>
      </c>
      <c r="N70" s="7" t="s">
        <v>731</v>
      </c>
      <c r="O70" s="7"/>
      <c r="P70" s="7" t="s">
        <v>833</v>
      </c>
      <c r="Q70" s="7"/>
      <c r="R70" s="7" t="s">
        <v>733</v>
      </c>
      <c r="S70" s="8" t="s">
        <v>834</v>
      </c>
      <c r="T70" s="7" t="str">
        <f t="shared" si="2"/>
        <v>T2</v>
      </c>
    </row>
    <row r="71" spans="1:20" ht="402.5" x14ac:dyDescent="0.35">
      <c r="A71" s="7" t="s">
        <v>835</v>
      </c>
      <c r="B71" s="7" t="s">
        <v>836</v>
      </c>
      <c r="C71" s="7" t="s">
        <v>837</v>
      </c>
      <c r="D71" s="7" t="s">
        <v>725</v>
      </c>
      <c r="E71" s="7" t="s">
        <v>92</v>
      </c>
      <c r="F71" s="7" t="s">
        <v>60</v>
      </c>
      <c r="G71" s="7" t="s">
        <v>838</v>
      </c>
      <c r="H71" s="7" t="s">
        <v>839</v>
      </c>
      <c r="I71" s="7" t="s">
        <v>728</v>
      </c>
      <c r="J71" s="7" t="s">
        <v>729</v>
      </c>
      <c r="K71" s="7" t="s">
        <v>567</v>
      </c>
      <c r="L71" s="7" t="s">
        <v>96</v>
      </c>
      <c r="M71" s="7" t="s">
        <v>840</v>
      </c>
      <c r="N71" s="7" t="s">
        <v>731</v>
      </c>
      <c r="O71" s="7"/>
      <c r="P71" s="7" t="s">
        <v>841</v>
      </c>
      <c r="Q71" s="7"/>
      <c r="R71" s="7" t="s">
        <v>733</v>
      </c>
      <c r="S71" s="8" t="s">
        <v>842</v>
      </c>
      <c r="T71" s="7" t="str">
        <f t="shared" si="2"/>
        <v>T2</v>
      </c>
    </row>
    <row r="72" spans="1:20" ht="409.5" x14ac:dyDescent="0.35">
      <c r="A72" s="7" t="s">
        <v>843</v>
      </c>
      <c r="B72" s="7" t="s">
        <v>844</v>
      </c>
      <c r="C72" s="7" t="s">
        <v>845</v>
      </c>
      <c r="D72" s="7" t="s">
        <v>725</v>
      </c>
      <c r="E72" s="7" t="s">
        <v>92</v>
      </c>
      <c r="F72" s="7" t="s">
        <v>60</v>
      </c>
      <c r="G72" s="7" t="s">
        <v>846</v>
      </c>
      <c r="H72" s="7" t="s">
        <v>847</v>
      </c>
      <c r="I72" s="7" t="s">
        <v>728</v>
      </c>
      <c r="J72" s="7" t="s">
        <v>729</v>
      </c>
      <c r="K72" s="7" t="s">
        <v>567</v>
      </c>
      <c r="L72" s="7" t="s">
        <v>96</v>
      </c>
      <c r="M72" s="7" t="s">
        <v>848</v>
      </c>
      <c r="N72" s="7" t="s">
        <v>731</v>
      </c>
      <c r="O72" s="7"/>
      <c r="P72" s="7" t="s">
        <v>849</v>
      </c>
      <c r="Q72" s="7"/>
      <c r="R72" s="7" t="s">
        <v>733</v>
      </c>
      <c r="S72" s="8" t="s">
        <v>850</v>
      </c>
      <c r="T72" s="7" t="str">
        <f t="shared" si="2"/>
        <v>T2</v>
      </c>
    </row>
    <row r="73" spans="1:20" ht="126.5" x14ac:dyDescent="0.35">
      <c r="A73" s="7" t="s">
        <v>851</v>
      </c>
      <c r="B73" s="7" t="s">
        <v>852</v>
      </c>
      <c r="C73" s="7" t="s">
        <v>853</v>
      </c>
      <c r="D73" s="7" t="s">
        <v>725</v>
      </c>
      <c r="E73" s="7" t="s">
        <v>59</v>
      </c>
      <c r="F73" s="7" t="s">
        <v>114</v>
      </c>
      <c r="G73" s="7" t="s">
        <v>854</v>
      </c>
      <c r="H73" s="7" t="s">
        <v>855</v>
      </c>
      <c r="I73" s="7" t="s">
        <v>856</v>
      </c>
      <c r="J73" s="7" t="s">
        <v>64</v>
      </c>
      <c r="K73" s="7" t="s">
        <v>296</v>
      </c>
      <c r="L73" s="7" t="s">
        <v>66</v>
      </c>
      <c r="M73" s="7" t="s">
        <v>857</v>
      </c>
      <c r="N73" s="7" t="s">
        <v>858</v>
      </c>
      <c r="O73" s="7" t="s">
        <v>859</v>
      </c>
      <c r="P73" s="7" t="s">
        <v>860</v>
      </c>
      <c r="Q73" s="7"/>
      <c r="R73" s="7" t="s">
        <v>861</v>
      </c>
      <c r="S73" s="8" t="s">
        <v>862</v>
      </c>
      <c r="T73" s="7" t="str">
        <f t="shared" si="2"/>
        <v>T2</v>
      </c>
    </row>
    <row r="74" spans="1:20" ht="57.5" x14ac:dyDescent="0.35">
      <c r="A74" s="7" t="s">
        <v>863</v>
      </c>
      <c r="B74" s="7" t="s">
        <v>864</v>
      </c>
      <c r="C74" s="7" t="s">
        <v>865</v>
      </c>
      <c r="D74" s="7" t="s">
        <v>866</v>
      </c>
      <c r="E74" s="7" t="s">
        <v>92</v>
      </c>
      <c r="F74" s="7" t="s">
        <v>114</v>
      </c>
      <c r="G74" s="7" t="s">
        <v>867</v>
      </c>
      <c r="H74" s="7" t="s">
        <v>868</v>
      </c>
      <c r="I74" s="7" t="s">
        <v>268</v>
      </c>
      <c r="J74" s="7" t="s">
        <v>869</v>
      </c>
      <c r="K74" s="7" t="s">
        <v>270</v>
      </c>
      <c r="L74" s="7" t="s">
        <v>66</v>
      </c>
      <c r="M74" s="7" t="s">
        <v>870</v>
      </c>
      <c r="N74" s="7" t="s">
        <v>871</v>
      </c>
      <c r="O74" s="7" t="s">
        <v>872</v>
      </c>
      <c r="P74" s="7" t="s">
        <v>873</v>
      </c>
      <c r="Q74" s="7" t="s">
        <v>874</v>
      </c>
      <c r="R74" s="7" t="s">
        <v>875</v>
      </c>
      <c r="S74" s="8" t="s">
        <v>876</v>
      </c>
      <c r="T74" s="7" t="str">
        <f t="shared" si="2"/>
        <v>T2</v>
      </c>
    </row>
    <row r="75" spans="1:20" ht="241.5" x14ac:dyDescent="0.35">
      <c r="A75" s="7" t="s">
        <v>877</v>
      </c>
      <c r="B75" s="7" t="s">
        <v>878</v>
      </c>
      <c r="C75" s="7" t="s">
        <v>879</v>
      </c>
      <c r="D75" s="7" t="s">
        <v>866</v>
      </c>
      <c r="E75" s="7" t="s">
        <v>92</v>
      </c>
      <c r="F75" s="7" t="s">
        <v>114</v>
      </c>
      <c r="G75" s="7" t="s">
        <v>880</v>
      </c>
      <c r="H75" s="7" t="s">
        <v>881</v>
      </c>
      <c r="I75" s="7" t="s">
        <v>268</v>
      </c>
      <c r="J75" s="7" t="s">
        <v>269</v>
      </c>
      <c r="K75" s="7" t="s">
        <v>270</v>
      </c>
      <c r="L75" s="7" t="s">
        <v>80</v>
      </c>
      <c r="M75" s="7" t="s">
        <v>882</v>
      </c>
      <c r="N75" s="7"/>
      <c r="O75" s="7" t="s">
        <v>883</v>
      </c>
      <c r="P75" s="7" t="s">
        <v>884</v>
      </c>
      <c r="Q75" s="7" t="s">
        <v>885</v>
      </c>
      <c r="R75" s="7" t="s">
        <v>886</v>
      </c>
      <c r="S75" s="8" t="s">
        <v>887</v>
      </c>
      <c r="T75" s="7" t="str">
        <f t="shared" si="2"/>
        <v>T3</v>
      </c>
    </row>
    <row r="76" spans="1:20" ht="115" x14ac:dyDescent="0.35">
      <c r="A76" s="7" t="s">
        <v>888</v>
      </c>
      <c r="B76" s="7" t="s">
        <v>889</v>
      </c>
      <c r="C76" s="7" t="s">
        <v>890</v>
      </c>
      <c r="D76" s="7" t="s">
        <v>866</v>
      </c>
      <c r="E76" s="7" t="s">
        <v>92</v>
      </c>
      <c r="F76" s="7" t="s">
        <v>114</v>
      </c>
      <c r="G76" s="7" t="s">
        <v>891</v>
      </c>
      <c r="H76" s="7" t="s">
        <v>892</v>
      </c>
      <c r="I76" s="7" t="s">
        <v>268</v>
      </c>
      <c r="J76" s="7" t="s">
        <v>893</v>
      </c>
      <c r="K76" s="7" t="s">
        <v>641</v>
      </c>
      <c r="L76" s="7" t="s">
        <v>66</v>
      </c>
      <c r="M76" s="7" t="s">
        <v>894</v>
      </c>
      <c r="N76" s="7" t="s">
        <v>895</v>
      </c>
      <c r="O76" s="7" t="s">
        <v>896</v>
      </c>
      <c r="P76" s="7" t="s">
        <v>897</v>
      </c>
      <c r="Q76" s="7" t="s">
        <v>898</v>
      </c>
      <c r="R76" s="7" t="s">
        <v>899</v>
      </c>
      <c r="S76" s="8" t="s">
        <v>900</v>
      </c>
      <c r="T76" s="7" t="str">
        <f t="shared" si="2"/>
        <v>T3</v>
      </c>
    </row>
    <row r="77" spans="1:20" ht="126.5" x14ac:dyDescent="0.35">
      <c r="A77" s="7" t="s">
        <v>901</v>
      </c>
      <c r="B77" s="7" t="s">
        <v>889</v>
      </c>
      <c r="C77" s="7" t="s">
        <v>890</v>
      </c>
      <c r="D77" s="7" t="s">
        <v>866</v>
      </c>
      <c r="E77" s="7" t="s">
        <v>92</v>
      </c>
      <c r="F77" s="7" t="s">
        <v>114</v>
      </c>
      <c r="G77" s="7" t="s">
        <v>902</v>
      </c>
      <c r="H77" s="7" t="s">
        <v>903</v>
      </c>
      <c r="I77" s="7" t="s">
        <v>268</v>
      </c>
      <c r="J77" s="7" t="s">
        <v>893</v>
      </c>
      <c r="K77" s="7" t="s">
        <v>641</v>
      </c>
      <c r="L77" s="7" t="s">
        <v>96</v>
      </c>
      <c r="M77" s="7" t="s">
        <v>904</v>
      </c>
      <c r="N77" s="7" t="s">
        <v>905</v>
      </c>
      <c r="O77" s="7" t="s">
        <v>906</v>
      </c>
      <c r="P77" s="7" t="s">
        <v>907</v>
      </c>
      <c r="Q77" s="7" t="s">
        <v>908</v>
      </c>
      <c r="R77" s="7" t="s">
        <v>899</v>
      </c>
      <c r="S77" s="8" t="s">
        <v>909</v>
      </c>
      <c r="T77" s="7" t="str">
        <f t="shared" si="2"/>
        <v>T2</v>
      </c>
    </row>
    <row r="78" spans="1:20" ht="149.5" x14ac:dyDescent="0.35">
      <c r="A78" s="7" t="s">
        <v>910</v>
      </c>
      <c r="B78" s="7" t="s">
        <v>889</v>
      </c>
      <c r="C78" s="7" t="s">
        <v>890</v>
      </c>
      <c r="D78" s="7" t="s">
        <v>866</v>
      </c>
      <c r="E78" s="7" t="s">
        <v>92</v>
      </c>
      <c r="F78" s="7" t="s">
        <v>114</v>
      </c>
      <c r="G78" s="7" t="s">
        <v>911</v>
      </c>
      <c r="H78" s="7" t="s">
        <v>912</v>
      </c>
      <c r="I78" s="7" t="s">
        <v>268</v>
      </c>
      <c r="J78" s="7" t="s">
        <v>893</v>
      </c>
      <c r="K78" s="7" t="s">
        <v>641</v>
      </c>
      <c r="L78" s="7" t="s">
        <v>96</v>
      </c>
      <c r="M78" s="7" t="s">
        <v>913</v>
      </c>
      <c r="N78" s="7" t="s">
        <v>914</v>
      </c>
      <c r="O78" s="7" t="s">
        <v>915</v>
      </c>
      <c r="P78" s="7" t="s">
        <v>916</v>
      </c>
      <c r="Q78" s="7" t="s">
        <v>917</v>
      </c>
      <c r="R78" s="7" t="s">
        <v>899</v>
      </c>
      <c r="S78" s="8" t="s">
        <v>918</v>
      </c>
      <c r="T78" s="7" t="str">
        <f t="shared" si="2"/>
        <v>T2</v>
      </c>
    </row>
    <row r="79" spans="1:20" ht="103.5" x14ac:dyDescent="0.35">
      <c r="A79" s="7" t="s">
        <v>919</v>
      </c>
      <c r="B79" s="7" t="s">
        <v>920</v>
      </c>
      <c r="C79" s="7" t="s">
        <v>921</v>
      </c>
      <c r="D79" s="7" t="s">
        <v>866</v>
      </c>
      <c r="E79" s="7" t="s">
        <v>92</v>
      </c>
      <c r="F79" s="7" t="s">
        <v>114</v>
      </c>
      <c r="G79" s="7" t="s">
        <v>922</v>
      </c>
      <c r="H79" s="7" t="s">
        <v>923</v>
      </c>
      <c r="I79" s="7" t="s">
        <v>268</v>
      </c>
      <c r="J79" s="7" t="s">
        <v>924</v>
      </c>
      <c r="K79" s="7" t="s">
        <v>641</v>
      </c>
      <c r="L79" s="7" t="s">
        <v>80</v>
      </c>
      <c r="M79" s="7" t="s">
        <v>925</v>
      </c>
      <c r="N79" s="7" t="s">
        <v>926</v>
      </c>
      <c r="O79" s="7" t="s">
        <v>927</v>
      </c>
      <c r="P79" s="7" t="s">
        <v>928</v>
      </c>
      <c r="Q79" s="7"/>
      <c r="R79" s="7" t="s">
        <v>886</v>
      </c>
      <c r="S79" s="8" t="s">
        <v>929</v>
      </c>
      <c r="T79" s="7" t="str">
        <f t="shared" si="2"/>
        <v>T3</v>
      </c>
    </row>
    <row r="80" spans="1:20" ht="138" x14ac:dyDescent="0.35">
      <c r="A80" s="7" t="s">
        <v>930</v>
      </c>
      <c r="B80" s="7" t="s">
        <v>920</v>
      </c>
      <c r="C80" s="7" t="s">
        <v>921</v>
      </c>
      <c r="D80" s="7" t="s">
        <v>866</v>
      </c>
      <c r="E80" s="7" t="s">
        <v>92</v>
      </c>
      <c r="F80" s="7" t="s">
        <v>114</v>
      </c>
      <c r="G80" s="7" t="s">
        <v>931</v>
      </c>
      <c r="H80" s="7" t="s">
        <v>932</v>
      </c>
      <c r="I80" s="7" t="s">
        <v>268</v>
      </c>
      <c r="J80" s="7" t="s">
        <v>924</v>
      </c>
      <c r="K80" s="7" t="s">
        <v>641</v>
      </c>
      <c r="L80" s="7" t="s">
        <v>66</v>
      </c>
      <c r="M80" s="7" t="s">
        <v>933</v>
      </c>
      <c r="N80" s="7" t="s">
        <v>934</v>
      </c>
      <c r="O80" s="7" t="s">
        <v>935</v>
      </c>
      <c r="P80" s="7" t="s">
        <v>936</v>
      </c>
      <c r="Q80" s="7" t="s">
        <v>937</v>
      </c>
      <c r="R80" s="7" t="s">
        <v>886</v>
      </c>
      <c r="S80" s="8" t="s">
        <v>938</v>
      </c>
      <c r="T80" s="7" t="str">
        <f t="shared" si="2"/>
        <v>T3</v>
      </c>
    </row>
    <row r="81" spans="1:20" ht="138" x14ac:dyDescent="0.35">
      <c r="A81" s="7" t="s">
        <v>939</v>
      </c>
      <c r="B81" s="7" t="s">
        <v>920</v>
      </c>
      <c r="C81" s="7" t="s">
        <v>921</v>
      </c>
      <c r="D81" s="7" t="s">
        <v>866</v>
      </c>
      <c r="E81" s="7" t="s">
        <v>92</v>
      </c>
      <c r="F81" s="7" t="s">
        <v>114</v>
      </c>
      <c r="G81" s="7" t="s">
        <v>940</v>
      </c>
      <c r="H81" s="7" t="s">
        <v>941</v>
      </c>
      <c r="I81" s="7" t="s">
        <v>268</v>
      </c>
      <c r="J81" s="7" t="s">
        <v>924</v>
      </c>
      <c r="K81" s="7" t="s">
        <v>641</v>
      </c>
      <c r="L81" s="7" t="s">
        <v>66</v>
      </c>
      <c r="M81" s="7" t="s">
        <v>942</v>
      </c>
      <c r="N81" s="7" t="s">
        <v>943</v>
      </c>
      <c r="O81" s="7" t="s">
        <v>944</v>
      </c>
      <c r="P81" s="7" t="s">
        <v>945</v>
      </c>
      <c r="Q81" s="7" t="s">
        <v>946</v>
      </c>
      <c r="R81" s="7" t="s">
        <v>886</v>
      </c>
      <c r="S81" s="8" t="s">
        <v>947</v>
      </c>
      <c r="T81" s="7" t="str">
        <f t="shared" si="2"/>
        <v>T3</v>
      </c>
    </row>
    <row r="82" spans="1:20" ht="103.5" x14ac:dyDescent="0.35">
      <c r="A82" s="7" t="s">
        <v>948</v>
      </c>
      <c r="B82" s="7" t="s">
        <v>949</v>
      </c>
      <c r="C82" s="7" t="s">
        <v>950</v>
      </c>
      <c r="D82" s="7" t="s">
        <v>866</v>
      </c>
      <c r="E82" s="7" t="s">
        <v>92</v>
      </c>
      <c r="F82" s="7" t="s">
        <v>114</v>
      </c>
      <c r="G82" s="7" t="s">
        <v>922</v>
      </c>
      <c r="H82" s="7" t="s">
        <v>923</v>
      </c>
      <c r="I82" s="7" t="s">
        <v>268</v>
      </c>
      <c r="J82" s="7" t="s">
        <v>924</v>
      </c>
      <c r="K82" s="7" t="s">
        <v>641</v>
      </c>
      <c r="L82" s="7" t="s">
        <v>80</v>
      </c>
      <c r="M82" s="7" t="s">
        <v>925</v>
      </c>
      <c r="N82" s="7" t="s">
        <v>926</v>
      </c>
      <c r="O82" s="7" t="s">
        <v>927</v>
      </c>
      <c r="P82" s="7" t="s">
        <v>928</v>
      </c>
      <c r="Q82" s="7"/>
      <c r="R82" s="7" t="s">
        <v>886</v>
      </c>
      <c r="S82" s="8" t="s">
        <v>929</v>
      </c>
      <c r="T82" s="7" t="str">
        <f t="shared" si="2"/>
        <v>T3</v>
      </c>
    </row>
    <row r="83" spans="1:20" ht="138" x14ac:dyDescent="0.35">
      <c r="A83" s="7" t="s">
        <v>951</v>
      </c>
      <c r="B83" s="7" t="s">
        <v>949</v>
      </c>
      <c r="C83" s="7" t="s">
        <v>950</v>
      </c>
      <c r="D83" s="7" t="s">
        <v>866</v>
      </c>
      <c r="E83" s="7" t="s">
        <v>92</v>
      </c>
      <c r="F83" s="7" t="s">
        <v>114</v>
      </c>
      <c r="G83" s="7" t="s">
        <v>931</v>
      </c>
      <c r="H83" s="7" t="s">
        <v>932</v>
      </c>
      <c r="I83" s="7" t="s">
        <v>268</v>
      </c>
      <c r="J83" s="7" t="s">
        <v>924</v>
      </c>
      <c r="K83" s="7" t="s">
        <v>641</v>
      </c>
      <c r="L83" s="7" t="s">
        <v>66</v>
      </c>
      <c r="M83" s="7" t="s">
        <v>933</v>
      </c>
      <c r="N83" s="7" t="s">
        <v>934</v>
      </c>
      <c r="O83" s="7" t="s">
        <v>935</v>
      </c>
      <c r="P83" s="7" t="s">
        <v>936</v>
      </c>
      <c r="Q83" s="7" t="s">
        <v>937</v>
      </c>
      <c r="R83" s="7" t="s">
        <v>886</v>
      </c>
      <c r="S83" s="8" t="s">
        <v>938</v>
      </c>
      <c r="T83" s="7" t="str">
        <f t="shared" si="2"/>
        <v>T3</v>
      </c>
    </row>
    <row r="84" spans="1:20" ht="138" x14ac:dyDescent="0.35">
      <c r="A84" s="7" t="s">
        <v>952</v>
      </c>
      <c r="B84" s="7" t="s">
        <v>949</v>
      </c>
      <c r="C84" s="7" t="s">
        <v>950</v>
      </c>
      <c r="D84" s="7" t="s">
        <v>866</v>
      </c>
      <c r="E84" s="7" t="s">
        <v>92</v>
      </c>
      <c r="F84" s="7" t="s">
        <v>114</v>
      </c>
      <c r="G84" s="7" t="s">
        <v>940</v>
      </c>
      <c r="H84" s="7" t="s">
        <v>941</v>
      </c>
      <c r="I84" s="7" t="s">
        <v>268</v>
      </c>
      <c r="J84" s="7" t="s">
        <v>924</v>
      </c>
      <c r="K84" s="7" t="s">
        <v>641</v>
      </c>
      <c r="L84" s="7" t="s">
        <v>66</v>
      </c>
      <c r="M84" s="7" t="s">
        <v>942</v>
      </c>
      <c r="N84" s="7" t="s">
        <v>943</v>
      </c>
      <c r="O84" s="7" t="s">
        <v>944</v>
      </c>
      <c r="P84" s="7" t="s">
        <v>945</v>
      </c>
      <c r="Q84" s="7" t="s">
        <v>946</v>
      </c>
      <c r="R84" s="7" t="s">
        <v>886</v>
      </c>
      <c r="S84" s="8" t="s">
        <v>947</v>
      </c>
      <c r="T84" s="7" t="str">
        <f t="shared" si="2"/>
        <v>T3</v>
      </c>
    </row>
    <row r="85" spans="1:20" ht="103.5" x14ac:dyDescent="0.35">
      <c r="A85" s="7" t="s">
        <v>953</v>
      </c>
      <c r="B85" s="7" t="s">
        <v>954</v>
      </c>
      <c r="C85" s="7" t="s">
        <v>955</v>
      </c>
      <c r="D85" s="7" t="s">
        <v>866</v>
      </c>
      <c r="E85" s="7" t="s">
        <v>59</v>
      </c>
      <c r="F85" s="7" t="s">
        <v>114</v>
      </c>
      <c r="G85" s="7" t="s">
        <v>956</v>
      </c>
      <c r="H85" s="7" t="s">
        <v>957</v>
      </c>
      <c r="I85" s="7" t="s">
        <v>268</v>
      </c>
      <c r="J85" s="7" t="s">
        <v>924</v>
      </c>
      <c r="K85" s="7" t="s">
        <v>641</v>
      </c>
      <c r="L85" s="7" t="s">
        <v>66</v>
      </c>
      <c r="M85" s="7" t="s">
        <v>958</v>
      </c>
      <c r="N85" s="7" t="s">
        <v>959</v>
      </c>
      <c r="O85" s="7" t="s">
        <v>960</v>
      </c>
      <c r="P85" s="7" t="s">
        <v>961</v>
      </c>
      <c r="Q85" s="7"/>
      <c r="R85" s="7" t="s">
        <v>962</v>
      </c>
      <c r="S85" s="8" t="s">
        <v>963</v>
      </c>
      <c r="T85" s="7" t="str">
        <f t="shared" si="2"/>
        <v>T3</v>
      </c>
    </row>
    <row r="86" spans="1:20" ht="80.5" x14ac:dyDescent="0.35">
      <c r="A86" s="7" t="s">
        <v>964</v>
      </c>
      <c r="B86" s="7" t="s">
        <v>965</v>
      </c>
      <c r="C86" s="7" t="s">
        <v>966</v>
      </c>
      <c r="D86" s="7" t="s">
        <v>866</v>
      </c>
      <c r="E86" s="7" t="s">
        <v>59</v>
      </c>
      <c r="F86" s="7" t="s">
        <v>60</v>
      </c>
      <c r="G86" s="7" t="s">
        <v>967</v>
      </c>
      <c r="H86" s="7" t="s">
        <v>968</v>
      </c>
      <c r="I86" s="7" t="s">
        <v>639</v>
      </c>
      <c r="J86" s="7" t="s">
        <v>969</v>
      </c>
      <c r="K86" s="7" t="s">
        <v>641</v>
      </c>
      <c r="L86" s="7" t="s">
        <v>96</v>
      </c>
      <c r="M86" s="7" t="s">
        <v>970</v>
      </c>
      <c r="N86" s="7" t="s">
        <v>971</v>
      </c>
      <c r="O86" s="7" t="s">
        <v>972</v>
      </c>
      <c r="P86" s="7" t="s">
        <v>973</v>
      </c>
      <c r="Q86" s="7"/>
      <c r="R86" s="7" t="s">
        <v>974</v>
      </c>
      <c r="S86" s="8" t="s">
        <v>975</v>
      </c>
      <c r="T86" s="7" t="str">
        <f t="shared" si="2"/>
        <v>T2</v>
      </c>
    </row>
    <row r="87" spans="1:20" ht="115" x14ac:dyDescent="0.35">
      <c r="A87" s="7" t="s">
        <v>976</v>
      </c>
      <c r="B87" s="7" t="s">
        <v>977</v>
      </c>
      <c r="C87" s="7" t="s">
        <v>978</v>
      </c>
      <c r="D87" s="7" t="s">
        <v>866</v>
      </c>
      <c r="E87" s="7" t="s">
        <v>92</v>
      </c>
      <c r="F87" s="7" t="s">
        <v>114</v>
      </c>
      <c r="G87" s="7" t="s">
        <v>979</v>
      </c>
      <c r="H87" s="7" t="s">
        <v>980</v>
      </c>
      <c r="I87" s="7" t="s">
        <v>268</v>
      </c>
      <c r="J87" s="7" t="s">
        <v>269</v>
      </c>
      <c r="K87" s="7" t="s">
        <v>270</v>
      </c>
      <c r="L87" s="7" t="s">
        <v>66</v>
      </c>
      <c r="M87" s="7" t="s">
        <v>981</v>
      </c>
      <c r="N87" s="7" t="s">
        <v>982</v>
      </c>
      <c r="O87" s="7" t="s">
        <v>983</v>
      </c>
      <c r="P87" s="7" t="s">
        <v>984</v>
      </c>
      <c r="Q87" s="7" t="s">
        <v>985</v>
      </c>
      <c r="R87" s="7" t="s">
        <v>986</v>
      </c>
      <c r="S87" s="8" t="s">
        <v>987</v>
      </c>
      <c r="T87" s="7" t="str">
        <f t="shared" si="2"/>
        <v>T2</v>
      </c>
    </row>
  </sheetData>
  <autoFilter ref="A1:T87" xr:uid="{00000000-0009-0000-0000-000001000000}"/>
  <hyperlinks>
    <hyperlink ref="S2" r:id="rId1" xr:uid="{00000000-0004-0000-0100-000000000000}"/>
    <hyperlink ref="S3" r:id="rId2" xr:uid="{00000000-0004-0000-0100-000001000000}"/>
    <hyperlink ref="S4" r:id="rId3" xr:uid="{00000000-0004-0000-0100-000002000000}"/>
    <hyperlink ref="S5" r:id="rId4" xr:uid="{00000000-0004-0000-0100-000003000000}"/>
    <hyperlink ref="S6" r:id="rId5" xr:uid="{00000000-0004-0000-0100-000004000000}"/>
    <hyperlink ref="S7" r:id="rId6" xr:uid="{00000000-0004-0000-0100-000005000000}"/>
    <hyperlink ref="S8" r:id="rId7" xr:uid="{00000000-0004-0000-0100-000006000000}"/>
    <hyperlink ref="S9" r:id="rId8" xr:uid="{00000000-0004-0000-0100-000007000000}"/>
    <hyperlink ref="S10" r:id="rId9" xr:uid="{00000000-0004-0000-0100-000008000000}"/>
    <hyperlink ref="S11" r:id="rId10" xr:uid="{00000000-0004-0000-0100-000009000000}"/>
    <hyperlink ref="S12" r:id="rId11" xr:uid="{00000000-0004-0000-0100-00000A000000}"/>
    <hyperlink ref="S13" r:id="rId12" xr:uid="{00000000-0004-0000-0100-00000B000000}"/>
    <hyperlink ref="S14" r:id="rId13" xr:uid="{00000000-0004-0000-0100-00000C000000}"/>
    <hyperlink ref="S15" r:id="rId14" xr:uid="{00000000-0004-0000-0100-00000D000000}"/>
    <hyperlink ref="S16" r:id="rId15" xr:uid="{00000000-0004-0000-0100-00000E000000}"/>
    <hyperlink ref="S17" r:id="rId16" xr:uid="{00000000-0004-0000-0100-00000F000000}"/>
    <hyperlink ref="S18" r:id="rId17" xr:uid="{00000000-0004-0000-0100-000010000000}"/>
    <hyperlink ref="S19" r:id="rId18" xr:uid="{00000000-0004-0000-0100-000011000000}"/>
    <hyperlink ref="S20" r:id="rId19" xr:uid="{00000000-0004-0000-0100-000012000000}"/>
    <hyperlink ref="S21" r:id="rId20" xr:uid="{00000000-0004-0000-0100-000013000000}"/>
    <hyperlink ref="S22" r:id="rId21" xr:uid="{00000000-0004-0000-0100-000014000000}"/>
    <hyperlink ref="S23" r:id="rId22" xr:uid="{00000000-0004-0000-0100-000015000000}"/>
    <hyperlink ref="S24" r:id="rId23" xr:uid="{00000000-0004-0000-0100-000016000000}"/>
    <hyperlink ref="S25" r:id="rId24" xr:uid="{00000000-0004-0000-0100-000017000000}"/>
    <hyperlink ref="S26" r:id="rId25" xr:uid="{00000000-0004-0000-0100-000018000000}"/>
    <hyperlink ref="S27" r:id="rId26" xr:uid="{00000000-0004-0000-0100-000019000000}"/>
    <hyperlink ref="S28" r:id="rId27" xr:uid="{00000000-0004-0000-0100-00001A000000}"/>
    <hyperlink ref="S29" r:id="rId28" xr:uid="{00000000-0004-0000-0100-00001B000000}"/>
    <hyperlink ref="S30" r:id="rId29" xr:uid="{00000000-0004-0000-0100-00001C000000}"/>
    <hyperlink ref="S31" r:id="rId30" xr:uid="{00000000-0004-0000-0100-00001D000000}"/>
    <hyperlink ref="S32" r:id="rId31" xr:uid="{00000000-0004-0000-0100-00001E000000}"/>
    <hyperlink ref="S33" r:id="rId32" xr:uid="{00000000-0004-0000-0100-00001F000000}"/>
    <hyperlink ref="S34" r:id="rId33" xr:uid="{00000000-0004-0000-0100-000020000000}"/>
    <hyperlink ref="S35" r:id="rId34" xr:uid="{00000000-0004-0000-0100-000021000000}"/>
    <hyperlink ref="S36" r:id="rId35" xr:uid="{00000000-0004-0000-0100-000022000000}"/>
    <hyperlink ref="S37" r:id="rId36" xr:uid="{00000000-0004-0000-0100-000023000000}"/>
    <hyperlink ref="S38" r:id="rId37" xr:uid="{00000000-0004-0000-0100-000024000000}"/>
    <hyperlink ref="S39" r:id="rId38" xr:uid="{00000000-0004-0000-0100-000025000000}"/>
    <hyperlink ref="S40" r:id="rId39" xr:uid="{00000000-0004-0000-0100-000026000000}"/>
    <hyperlink ref="S41" r:id="rId40" xr:uid="{00000000-0004-0000-0100-000027000000}"/>
    <hyperlink ref="S42" r:id="rId41" xr:uid="{00000000-0004-0000-0100-000028000000}"/>
    <hyperlink ref="S43" r:id="rId42" xr:uid="{00000000-0004-0000-0100-000029000000}"/>
    <hyperlink ref="S44" r:id="rId43" xr:uid="{00000000-0004-0000-0100-00002A000000}"/>
    <hyperlink ref="S45" r:id="rId44" xr:uid="{00000000-0004-0000-0100-00002B000000}"/>
    <hyperlink ref="S46" r:id="rId45" xr:uid="{00000000-0004-0000-0100-00002C000000}"/>
    <hyperlink ref="S47" r:id="rId46" xr:uid="{00000000-0004-0000-0100-00002D000000}"/>
    <hyperlink ref="S48" r:id="rId47" xr:uid="{00000000-0004-0000-0100-00002E000000}"/>
    <hyperlink ref="S49" r:id="rId48" xr:uid="{00000000-0004-0000-0100-00002F000000}"/>
    <hyperlink ref="S50" r:id="rId49" xr:uid="{00000000-0004-0000-0100-000030000000}"/>
    <hyperlink ref="S51" r:id="rId50" xr:uid="{00000000-0004-0000-0100-000031000000}"/>
    <hyperlink ref="S52" r:id="rId51" xr:uid="{00000000-0004-0000-0100-000032000000}"/>
    <hyperlink ref="S53" r:id="rId52" xr:uid="{00000000-0004-0000-0100-000033000000}"/>
    <hyperlink ref="S54" r:id="rId53" xr:uid="{00000000-0004-0000-0100-000034000000}"/>
    <hyperlink ref="S55" r:id="rId54" xr:uid="{00000000-0004-0000-0100-000035000000}"/>
    <hyperlink ref="S56" r:id="rId55" xr:uid="{00000000-0004-0000-0100-000036000000}"/>
    <hyperlink ref="S57" r:id="rId56" xr:uid="{00000000-0004-0000-0100-000037000000}"/>
    <hyperlink ref="S58" r:id="rId57" xr:uid="{00000000-0004-0000-0100-000038000000}"/>
    <hyperlink ref="S59" r:id="rId58" xr:uid="{00000000-0004-0000-0100-000039000000}"/>
    <hyperlink ref="S60" r:id="rId59" xr:uid="{00000000-0004-0000-0100-00003A000000}"/>
    <hyperlink ref="S61" r:id="rId60" xr:uid="{00000000-0004-0000-0100-00003B000000}"/>
    <hyperlink ref="S62" r:id="rId61" xr:uid="{00000000-0004-0000-0100-00003C000000}"/>
    <hyperlink ref="S63" r:id="rId62" xr:uid="{00000000-0004-0000-0100-00003D000000}"/>
    <hyperlink ref="S64" r:id="rId63" xr:uid="{00000000-0004-0000-0100-00003E000000}"/>
    <hyperlink ref="S65" r:id="rId64" xr:uid="{00000000-0004-0000-0100-00003F000000}"/>
    <hyperlink ref="S66" r:id="rId65" xr:uid="{00000000-0004-0000-0100-000040000000}"/>
    <hyperlink ref="S67" r:id="rId66" xr:uid="{00000000-0004-0000-0100-000041000000}"/>
    <hyperlink ref="S68" r:id="rId67" xr:uid="{00000000-0004-0000-0100-000042000000}"/>
    <hyperlink ref="S69" r:id="rId68" xr:uid="{00000000-0004-0000-0100-000043000000}"/>
    <hyperlink ref="S70" r:id="rId69" xr:uid="{00000000-0004-0000-0100-000044000000}"/>
    <hyperlink ref="S71" r:id="rId70" xr:uid="{00000000-0004-0000-0100-000045000000}"/>
    <hyperlink ref="S72" r:id="rId71" xr:uid="{00000000-0004-0000-0100-000046000000}"/>
    <hyperlink ref="S73" r:id="rId72" xr:uid="{00000000-0004-0000-0100-000047000000}"/>
    <hyperlink ref="S74" r:id="rId73" xr:uid="{00000000-0004-0000-0100-000048000000}"/>
    <hyperlink ref="S75" r:id="rId74" xr:uid="{00000000-0004-0000-0100-000049000000}"/>
    <hyperlink ref="S76" r:id="rId75" xr:uid="{00000000-0004-0000-0100-00004A000000}"/>
    <hyperlink ref="S77" r:id="rId76" xr:uid="{00000000-0004-0000-0100-00004B000000}"/>
    <hyperlink ref="S78" r:id="rId77" xr:uid="{00000000-0004-0000-0100-00004C000000}"/>
    <hyperlink ref="S79" r:id="rId78" xr:uid="{00000000-0004-0000-0100-00004D000000}"/>
    <hyperlink ref="S80" r:id="rId79" xr:uid="{00000000-0004-0000-0100-00004E000000}"/>
    <hyperlink ref="S81" r:id="rId80" xr:uid="{00000000-0004-0000-0100-00004F000000}"/>
    <hyperlink ref="S82" r:id="rId81" xr:uid="{00000000-0004-0000-0100-000050000000}"/>
    <hyperlink ref="S83" r:id="rId82" xr:uid="{00000000-0004-0000-0100-000051000000}"/>
    <hyperlink ref="S84" r:id="rId83" xr:uid="{00000000-0004-0000-0100-000052000000}"/>
    <hyperlink ref="S85" r:id="rId84" xr:uid="{00000000-0004-0000-0100-000053000000}"/>
    <hyperlink ref="S86" r:id="rId85" xr:uid="{00000000-0004-0000-0100-000054000000}"/>
    <hyperlink ref="S87" r:id="rId86" xr:uid="{00000000-0004-0000-0100-00005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workbookViewId="0">
      <pane xSplit="2" ySplit="1" topLeftCell="C2" activePane="bottomRight" state="frozen"/>
      <selection pane="topRight"/>
      <selection pane="bottomLeft"/>
      <selection pane="bottomRight"/>
    </sheetView>
  </sheetViews>
  <sheetFormatPr defaultRowHeight="14.5" x14ac:dyDescent="0.35"/>
  <cols>
    <col min="1" max="1" width="8" customWidth="1"/>
    <col min="2" max="2" width="30" customWidth="1"/>
    <col min="3" max="3" width="12" customWidth="1"/>
    <col min="4" max="4" width="45" customWidth="1"/>
    <col min="5" max="6" width="60" customWidth="1"/>
  </cols>
  <sheetData>
    <row r="1" spans="1:6" x14ac:dyDescent="0.35">
      <c r="A1" s="6" t="s">
        <v>988</v>
      </c>
      <c r="B1" s="6" t="s">
        <v>989</v>
      </c>
      <c r="C1" s="6" t="s">
        <v>36</v>
      </c>
      <c r="D1" s="6" t="s">
        <v>990</v>
      </c>
      <c r="E1" s="6" t="s">
        <v>991</v>
      </c>
      <c r="F1" s="6" t="s">
        <v>992</v>
      </c>
    </row>
    <row r="2" spans="1:6" ht="23" x14ac:dyDescent="0.35">
      <c r="A2" s="7" t="s">
        <v>993</v>
      </c>
      <c r="B2" s="7" t="s">
        <v>994</v>
      </c>
      <c r="C2" s="7" t="s">
        <v>56</v>
      </c>
      <c r="D2" s="7" t="s">
        <v>57</v>
      </c>
      <c r="E2" s="7" t="s">
        <v>995</v>
      </c>
      <c r="F2" s="7" t="s">
        <v>996</v>
      </c>
    </row>
    <row r="3" spans="1:6" ht="23" x14ac:dyDescent="0.35">
      <c r="A3" s="7" t="s">
        <v>997</v>
      </c>
      <c r="B3" s="7" t="s">
        <v>998</v>
      </c>
      <c r="C3" s="7" t="s">
        <v>999</v>
      </c>
      <c r="D3" s="7" t="s">
        <v>1000</v>
      </c>
      <c r="E3" s="7" t="s">
        <v>1001</v>
      </c>
      <c r="F3" s="7" t="s">
        <v>1002</v>
      </c>
    </row>
    <row r="4" spans="1:6" ht="23" x14ac:dyDescent="0.35">
      <c r="A4" s="7" t="s">
        <v>1003</v>
      </c>
      <c r="B4" s="7" t="s">
        <v>998</v>
      </c>
      <c r="C4" s="7" t="s">
        <v>1004</v>
      </c>
      <c r="D4" s="7" t="s">
        <v>1005</v>
      </c>
      <c r="E4" s="7" t="s">
        <v>1001</v>
      </c>
      <c r="F4" s="7" t="s">
        <v>1002</v>
      </c>
    </row>
    <row r="5" spans="1:6" ht="23" x14ac:dyDescent="0.35">
      <c r="A5" s="7" t="s">
        <v>1006</v>
      </c>
      <c r="B5" s="7" t="s">
        <v>998</v>
      </c>
      <c r="C5" s="7" t="s">
        <v>1007</v>
      </c>
      <c r="D5" s="7" t="s">
        <v>1008</v>
      </c>
      <c r="E5" s="7" t="s">
        <v>1001</v>
      </c>
      <c r="F5" s="7" t="s">
        <v>1002</v>
      </c>
    </row>
    <row r="6" spans="1:6" ht="23" x14ac:dyDescent="0.35">
      <c r="A6" s="7" t="s">
        <v>1009</v>
      </c>
      <c r="B6" s="7" t="s">
        <v>994</v>
      </c>
      <c r="C6" s="7" t="s">
        <v>74</v>
      </c>
      <c r="D6" s="7" t="s">
        <v>75</v>
      </c>
      <c r="E6" s="7" t="s">
        <v>995</v>
      </c>
      <c r="F6" s="7" t="s">
        <v>996</v>
      </c>
    </row>
    <row r="7" spans="1:6" ht="23" x14ac:dyDescent="0.35">
      <c r="A7" s="7" t="s">
        <v>1010</v>
      </c>
      <c r="B7" s="7" t="s">
        <v>994</v>
      </c>
      <c r="C7" s="7" t="s">
        <v>87</v>
      </c>
      <c r="D7" s="7" t="s">
        <v>88</v>
      </c>
      <c r="E7" s="7" t="s">
        <v>995</v>
      </c>
      <c r="F7" s="7" t="s">
        <v>996</v>
      </c>
    </row>
    <row r="8" spans="1:6" ht="23" x14ac:dyDescent="0.35">
      <c r="A8" s="7" t="s">
        <v>1011</v>
      </c>
      <c r="B8" s="7" t="s">
        <v>994</v>
      </c>
      <c r="C8" s="7" t="s">
        <v>90</v>
      </c>
      <c r="D8" s="7" t="s">
        <v>91</v>
      </c>
      <c r="E8" s="7" t="s">
        <v>995</v>
      </c>
      <c r="F8" s="7" t="s">
        <v>996</v>
      </c>
    </row>
    <row r="9" spans="1:6" ht="23" x14ac:dyDescent="0.35">
      <c r="A9" s="7" t="s">
        <v>1012</v>
      </c>
      <c r="B9" s="7" t="s">
        <v>994</v>
      </c>
      <c r="C9" s="7" t="s">
        <v>103</v>
      </c>
      <c r="D9" s="7" t="s">
        <v>104</v>
      </c>
      <c r="E9" s="7" t="s">
        <v>995</v>
      </c>
      <c r="F9" s="7" t="s">
        <v>996</v>
      </c>
    </row>
    <row r="10" spans="1:6" ht="23" x14ac:dyDescent="0.35">
      <c r="A10" s="7" t="s">
        <v>1013</v>
      </c>
      <c r="B10" s="7" t="s">
        <v>994</v>
      </c>
      <c r="C10" s="7" t="s">
        <v>135</v>
      </c>
      <c r="D10" s="7" t="s">
        <v>136</v>
      </c>
      <c r="E10" s="7" t="s">
        <v>995</v>
      </c>
      <c r="F10" s="7" t="s">
        <v>996</v>
      </c>
    </row>
    <row r="11" spans="1:6" ht="23" x14ac:dyDescent="0.35">
      <c r="A11" s="7" t="s">
        <v>1014</v>
      </c>
      <c r="B11" s="7" t="s">
        <v>994</v>
      </c>
      <c r="C11" s="7" t="s">
        <v>144</v>
      </c>
      <c r="D11" s="7" t="s">
        <v>145</v>
      </c>
      <c r="E11" s="7" t="s">
        <v>995</v>
      </c>
      <c r="F11" s="7" t="s">
        <v>996</v>
      </c>
    </row>
    <row r="12" spans="1:6" ht="23" x14ac:dyDescent="0.35">
      <c r="A12" s="7" t="s">
        <v>1015</v>
      </c>
      <c r="B12" s="7" t="s">
        <v>1016</v>
      </c>
      <c r="C12" s="7" t="s">
        <v>191</v>
      </c>
      <c r="D12" s="7" t="s">
        <v>192</v>
      </c>
      <c r="E12" s="7" t="s">
        <v>1017</v>
      </c>
      <c r="F12" s="7" t="s">
        <v>1018</v>
      </c>
    </row>
    <row r="13" spans="1:6" ht="23" x14ac:dyDescent="0.35">
      <c r="A13" s="7" t="s">
        <v>1019</v>
      </c>
      <c r="B13" s="7" t="s">
        <v>1016</v>
      </c>
      <c r="C13" s="7" t="s">
        <v>232</v>
      </c>
      <c r="D13" s="7" t="s">
        <v>233</v>
      </c>
      <c r="E13" s="7" t="s">
        <v>1020</v>
      </c>
      <c r="F13" s="7" t="s">
        <v>1018</v>
      </c>
    </row>
    <row r="14" spans="1:6" ht="34.5" x14ac:dyDescent="0.35">
      <c r="A14" s="7" t="s">
        <v>1021</v>
      </c>
      <c r="B14" s="7" t="s">
        <v>994</v>
      </c>
      <c r="C14" s="7" t="s">
        <v>305</v>
      </c>
      <c r="D14" s="7" t="s">
        <v>306</v>
      </c>
      <c r="E14" s="7" t="s">
        <v>995</v>
      </c>
      <c r="F14" s="7" t="s">
        <v>996</v>
      </c>
    </row>
    <row r="15" spans="1:6" ht="23" x14ac:dyDescent="0.35">
      <c r="A15" s="7" t="s">
        <v>1022</v>
      </c>
      <c r="B15" s="7" t="s">
        <v>994</v>
      </c>
      <c r="C15" s="7" t="s">
        <v>317</v>
      </c>
      <c r="D15" s="7" t="s">
        <v>318</v>
      </c>
      <c r="E15" s="7" t="s">
        <v>995</v>
      </c>
      <c r="F15" s="7" t="s">
        <v>996</v>
      </c>
    </row>
    <row r="16" spans="1:6" ht="57.5" x14ac:dyDescent="0.35">
      <c r="A16" s="7" t="s">
        <v>1023</v>
      </c>
      <c r="B16" s="7" t="s">
        <v>1016</v>
      </c>
      <c r="C16" s="7" t="s">
        <v>328</v>
      </c>
      <c r="D16" s="7" t="s">
        <v>329</v>
      </c>
      <c r="E16" s="7" t="s">
        <v>1024</v>
      </c>
      <c r="F16" s="7" t="s">
        <v>1025</v>
      </c>
    </row>
    <row r="17" spans="1:6" ht="23" x14ac:dyDescent="0.35">
      <c r="A17" s="7" t="s">
        <v>1026</v>
      </c>
      <c r="B17" s="7" t="s">
        <v>994</v>
      </c>
      <c r="C17" s="7" t="s">
        <v>328</v>
      </c>
      <c r="D17" s="7" t="s">
        <v>329</v>
      </c>
      <c r="E17" s="7" t="s">
        <v>995</v>
      </c>
      <c r="F17" s="7" t="s">
        <v>996</v>
      </c>
    </row>
    <row r="18" spans="1:6" ht="23" x14ac:dyDescent="0.35">
      <c r="A18" s="7" t="s">
        <v>1027</v>
      </c>
      <c r="B18" s="7" t="s">
        <v>994</v>
      </c>
      <c r="C18" s="7" t="s">
        <v>441</v>
      </c>
      <c r="D18" s="7" t="s">
        <v>442</v>
      </c>
      <c r="E18" s="7" t="s">
        <v>995</v>
      </c>
      <c r="F18" s="7" t="s">
        <v>996</v>
      </c>
    </row>
    <row r="19" spans="1:6" ht="23" x14ac:dyDescent="0.35">
      <c r="A19" s="7" t="s">
        <v>1028</v>
      </c>
      <c r="B19" s="7" t="s">
        <v>994</v>
      </c>
      <c r="C19" s="7" t="s">
        <v>452</v>
      </c>
      <c r="D19" s="7" t="s">
        <v>453</v>
      </c>
      <c r="E19" s="7" t="s">
        <v>995</v>
      </c>
      <c r="F19" s="7" t="s">
        <v>996</v>
      </c>
    </row>
    <row r="20" spans="1:6" ht="23" x14ac:dyDescent="0.35">
      <c r="A20" s="7" t="s">
        <v>1029</v>
      </c>
      <c r="B20" s="7" t="s">
        <v>1016</v>
      </c>
      <c r="C20" s="7" t="s">
        <v>465</v>
      </c>
      <c r="D20" s="7" t="s">
        <v>466</v>
      </c>
      <c r="E20" s="7" t="s">
        <v>1030</v>
      </c>
      <c r="F20" s="7" t="s">
        <v>1018</v>
      </c>
    </row>
    <row r="21" spans="1:6" ht="23" x14ac:dyDescent="0.35">
      <c r="A21" s="7" t="s">
        <v>1031</v>
      </c>
      <c r="B21" s="7" t="s">
        <v>1016</v>
      </c>
      <c r="C21" s="7" t="s">
        <v>525</v>
      </c>
      <c r="D21" s="7" t="s">
        <v>526</v>
      </c>
      <c r="E21" s="7" t="s">
        <v>1032</v>
      </c>
      <c r="F21" s="7" t="s">
        <v>1018</v>
      </c>
    </row>
    <row r="22" spans="1:6" ht="23" x14ac:dyDescent="0.35">
      <c r="A22" s="7" t="s">
        <v>1033</v>
      </c>
      <c r="B22" s="7" t="s">
        <v>994</v>
      </c>
      <c r="C22" s="7" t="s">
        <v>525</v>
      </c>
      <c r="D22" s="7" t="s">
        <v>526</v>
      </c>
      <c r="E22" s="7" t="s">
        <v>995</v>
      </c>
      <c r="F22" s="7" t="s">
        <v>996</v>
      </c>
    </row>
    <row r="23" spans="1:6" ht="23" x14ac:dyDescent="0.35">
      <c r="A23" s="7" t="s">
        <v>1034</v>
      </c>
      <c r="B23" s="7" t="s">
        <v>994</v>
      </c>
      <c r="C23" s="7" t="s">
        <v>560</v>
      </c>
      <c r="D23" s="7" t="s">
        <v>561</v>
      </c>
      <c r="E23" s="7" t="s">
        <v>995</v>
      </c>
      <c r="F23" s="7" t="s">
        <v>996</v>
      </c>
    </row>
    <row r="24" spans="1:6" ht="23" x14ac:dyDescent="0.35">
      <c r="A24" s="7" t="s">
        <v>1035</v>
      </c>
      <c r="B24" s="7" t="s">
        <v>994</v>
      </c>
      <c r="C24" s="7" t="s">
        <v>599</v>
      </c>
      <c r="D24" s="7" t="s">
        <v>600</v>
      </c>
      <c r="E24" s="7" t="s">
        <v>995</v>
      </c>
      <c r="F24" s="7" t="s">
        <v>996</v>
      </c>
    </row>
    <row r="25" spans="1:6" ht="34.5" x14ac:dyDescent="0.35">
      <c r="A25" s="7" t="s">
        <v>1036</v>
      </c>
      <c r="B25" s="7" t="s">
        <v>1016</v>
      </c>
      <c r="C25" s="7" t="s">
        <v>672</v>
      </c>
      <c r="D25" s="7" t="s">
        <v>673</v>
      </c>
      <c r="E25" s="7" t="s">
        <v>1037</v>
      </c>
      <c r="F25" s="7" t="s">
        <v>1038</v>
      </c>
    </row>
    <row r="26" spans="1:6" ht="23" x14ac:dyDescent="0.35">
      <c r="A26" s="7" t="s">
        <v>1039</v>
      </c>
      <c r="B26" s="7" t="s">
        <v>994</v>
      </c>
      <c r="C26" s="7" t="s">
        <v>672</v>
      </c>
      <c r="D26" s="7" t="s">
        <v>673</v>
      </c>
      <c r="E26" s="7" t="s">
        <v>995</v>
      </c>
      <c r="F26" s="7" t="s">
        <v>996</v>
      </c>
    </row>
    <row r="27" spans="1:6" ht="23" x14ac:dyDescent="0.35">
      <c r="A27" s="7" t="s">
        <v>1040</v>
      </c>
      <c r="B27" s="7" t="s">
        <v>994</v>
      </c>
      <c r="C27" s="7" t="s">
        <v>723</v>
      </c>
      <c r="D27" s="7" t="s">
        <v>724</v>
      </c>
      <c r="E27" s="7" t="s">
        <v>995</v>
      </c>
      <c r="F27" s="7" t="s">
        <v>996</v>
      </c>
    </row>
    <row r="28" spans="1:6" ht="23" x14ac:dyDescent="0.35">
      <c r="A28" s="7" t="s">
        <v>1041</v>
      </c>
      <c r="B28" s="7" t="s">
        <v>994</v>
      </c>
      <c r="C28" s="7" t="s">
        <v>736</v>
      </c>
      <c r="D28" s="7" t="s">
        <v>737</v>
      </c>
      <c r="E28" s="7" t="s">
        <v>995</v>
      </c>
      <c r="F28" s="7" t="s">
        <v>996</v>
      </c>
    </row>
    <row r="29" spans="1:6" ht="23" x14ac:dyDescent="0.35">
      <c r="A29" s="7" t="s">
        <v>1042</v>
      </c>
      <c r="B29" s="7" t="s">
        <v>994</v>
      </c>
      <c r="C29" s="7" t="s">
        <v>744</v>
      </c>
      <c r="D29" s="7" t="s">
        <v>745</v>
      </c>
      <c r="E29" s="7" t="s">
        <v>995</v>
      </c>
      <c r="F29" s="7" t="s">
        <v>996</v>
      </c>
    </row>
    <row r="30" spans="1:6" ht="23" x14ac:dyDescent="0.35">
      <c r="A30" s="7" t="s">
        <v>1043</v>
      </c>
      <c r="B30" s="7" t="s">
        <v>994</v>
      </c>
      <c r="C30" s="7" t="s">
        <v>753</v>
      </c>
      <c r="D30" s="7" t="s">
        <v>754</v>
      </c>
      <c r="E30" s="7" t="s">
        <v>995</v>
      </c>
      <c r="F30" s="7" t="s">
        <v>996</v>
      </c>
    </row>
    <row r="31" spans="1:6" ht="23" x14ac:dyDescent="0.35">
      <c r="A31" s="7" t="s">
        <v>1044</v>
      </c>
      <c r="B31" s="7" t="s">
        <v>994</v>
      </c>
      <c r="C31" s="7" t="s">
        <v>761</v>
      </c>
      <c r="D31" s="7" t="s">
        <v>762</v>
      </c>
      <c r="E31" s="7" t="s">
        <v>995</v>
      </c>
      <c r="F31" s="7" t="s">
        <v>996</v>
      </c>
    </row>
    <row r="32" spans="1:6" ht="23" x14ac:dyDescent="0.35">
      <c r="A32" s="7" t="s">
        <v>1045</v>
      </c>
      <c r="B32" s="7" t="s">
        <v>994</v>
      </c>
      <c r="C32" s="7" t="s">
        <v>769</v>
      </c>
      <c r="D32" s="7" t="s">
        <v>770</v>
      </c>
      <c r="E32" s="7" t="s">
        <v>995</v>
      </c>
      <c r="F32" s="7" t="s">
        <v>996</v>
      </c>
    </row>
    <row r="33" spans="1:6" ht="23" x14ac:dyDescent="0.35">
      <c r="A33" s="7" t="s">
        <v>1046</v>
      </c>
      <c r="B33" s="7" t="s">
        <v>994</v>
      </c>
      <c r="C33" s="7" t="s">
        <v>777</v>
      </c>
      <c r="D33" s="7" t="s">
        <v>778</v>
      </c>
      <c r="E33" s="7" t="s">
        <v>995</v>
      </c>
      <c r="F33" s="7" t="s">
        <v>996</v>
      </c>
    </row>
    <row r="34" spans="1:6" ht="23" x14ac:dyDescent="0.35">
      <c r="A34" s="7" t="s">
        <v>1047</v>
      </c>
      <c r="B34" s="7" t="s">
        <v>994</v>
      </c>
      <c r="C34" s="7" t="s">
        <v>786</v>
      </c>
      <c r="D34" s="7" t="s">
        <v>787</v>
      </c>
      <c r="E34" s="7" t="s">
        <v>995</v>
      </c>
      <c r="F34" s="7" t="s">
        <v>996</v>
      </c>
    </row>
    <row r="35" spans="1:6" ht="23" x14ac:dyDescent="0.35">
      <c r="A35" s="7" t="s">
        <v>1048</v>
      </c>
      <c r="B35" s="7" t="s">
        <v>994</v>
      </c>
      <c r="C35" s="7" t="s">
        <v>794</v>
      </c>
      <c r="D35" s="7" t="s">
        <v>795</v>
      </c>
      <c r="E35" s="7" t="s">
        <v>995</v>
      </c>
      <c r="F35" s="7" t="s">
        <v>996</v>
      </c>
    </row>
    <row r="36" spans="1:6" ht="23" x14ac:dyDescent="0.35">
      <c r="A36" s="7" t="s">
        <v>1049</v>
      </c>
      <c r="B36" s="7" t="s">
        <v>994</v>
      </c>
      <c r="C36" s="7" t="s">
        <v>802</v>
      </c>
      <c r="D36" s="7" t="s">
        <v>803</v>
      </c>
      <c r="E36" s="7" t="s">
        <v>995</v>
      </c>
      <c r="F36" s="7" t="s">
        <v>996</v>
      </c>
    </row>
    <row r="37" spans="1:6" ht="23" x14ac:dyDescent="0.35">
      <c r="A37" s="7" t="s">
        <v>1050</v>
      </c>
      <c r="B37" s="7" t="s">
        <v>994</v>
      </c>
      <c r="C37" s="7" t="s">
        <v>811</v>
      </c>
      <c r="D37" s="7" t="s">
        <v>812</v>
      </c>
      <c r="E37" s="7" t="s">
        <v>995</v>
      </c>
      <c r="F37" s="7" t="s">
        <v>996</v>
      </c>
    </row>
    <row r="38" spans="1:6" ht="23" x14ac:dyDescent="0.35">
      <c r="A38" s="7" t="s">
        <v>1051</v>
      </c>
      <c r="B38" s="7" t="s">
        <v>994</v>
      </c>
      <c r="C38" s="7" t="s">
        <v>819</v>
      </c>
      <c r="D38" s="7" t="s">
        <v>820</v>
      </c>
      <c r="E38" s="7" t="s">
        <v>995</v>
      </c>
      <c r="F38" s="7" t="s">
        <v>996</v>
      </c>
    </row>
    <row r="39" spans="1:6" ht="23" x14ac:dyDescent="0.35">
      <c r="A39" s="7" t="s">
        <v>1052</v>
      </c>
      <c r="B39" s="7" t="s">
        <v>994</v>
      </c>
      <c r="C39" s="7" t="s">
        <v>828</v>
      </c>
      <c r="D39" s="7" t="s">
        <v>829</v>
      </c>
      <c r="E39" s="7" t="s">
        <v>995</v>
      </c>
      <c r="F39" s="7" t="s">
        <v>996</v>
      </c>
    </row>
    <row r="40" spans="1:6" ht="23" x14ac:dyDescent="0.35">
      <c r="A40" s="7" t="s">
        <v>1053</v>
      </c>
      <c r="B40" s="7" t="s">
        <v>994</v>
      </c>
      <c r="C40" s="7" t="s">
        <v>836</v>
      </c>
      <c r="D40" s="7" t="s">
        <v>837</v>
      </c>
      <c r="E40" s="7" t="s">
        <v>995</v>
      </c>
      <c r="F40" s="7" t="s">
        <v>996</v>
      </c>
    </row>
    <row r="41" spans="1:6" ht="23" x14ac:dyDescent="0.35">
      <c r="A41" s="7" t="s">
        <v>1054</v>
      </c>
      <c r="B41" s="7" t="s">
        <v>994</v>
      </c>
      <c r="C41" s="7" t="s">
        <v>844</v>
      </c>
      <c r="D41" s="7" t="s">
        <v>845</v>
      </c>
      <c r="E41" s="7" t="s">
        <v>995</v>
      </c>
      <c r="F41" s="7" t="s">
        <v>996</v>
      </c>
    </row>
    <row r="42" spans="1:6" ht="34.5" x14ac:dyDescent="0.35">
      <c r="A42" s="7" t="s">
        <v>1055</v>
      </c>
      <c r="B42" s="7" t="s">
        <v>1016</v>
      </c>
      <c r="C42" s="7" t="s">
        <v>889</v>
      </c>
      <c r="D42" s="7" t="s">
        <v>890</v>
      </c>
      <c r="E42" s="7" t="s">
        <v>1056</v>
      </c>
      <c r="F42" s="7" t="s">
        <v>1057</v>
      </c>
    </row>
    <row r="43" spans="1:6" ht="46" x14ac:dyDescent="0.35">
      <c r="A43" s="7" t="s">
        <v>1058</v>
      </c>
      <c r="B43" s="7" t="s">
        <v>1016</v>
      </c>
      <c r="C43" s="7" t="s">
        <v>920</v>
      </c>
      <c r="D43" s="7" t="s">
        <v>921</v>
      </c>
      <c r="E43" s="7" t="s">
        <v>1059</v>
      </c>
      <c r="F43" s="7" t="s">
        <v>1057</v>
      </c>
    </row>
    <row r="44" spans="1:6" ht="46" x14ac:dyDescent="0.35">
      <c r="A44" s="7" t="s">
        <v>1060</v>
      </c>
      <c r="B44" s="7" t="s">
        <v>1016</v>
      </c>
      <c r="C44" s="7" t="s">
        <v>949</v>
      </c>
      <c r="D44" s="7" t="s">
        <v>950</v>
      </c>
      <c r="E44" s="7" t="s">
        <v>1059</v>
      </c>
      <c r="F44" s="7" t="s">
        <v>1057</v>
      </c>
    </row>
    <row r="45" spans="1:6" ht="23" x14ac:dyDescent="0.35">
      <c r="A45" s="7" t="s">
        <v>1061</v>
      </c>
      <c r="B45" s="7" t="s">
        <v>994</v>
      </c>
      <c r="C45" s="7" t="s">
        <v>965</v>
      </c>
      <c r="D45" s="7" t="s">
        <v>966</v>
      </c>
      <c r="E45" s="7" t="s">
        <v>995</v>
      </c>
      <c r="F45" s="7" t="s">
        <v>996</v>
      </c>
    </row>
    <row r="46" spans="1:6" ht="23" x14ac:dyDescent="0.35">
      <c r="A46" s="7" t="s">
        <v>1062</v>
      </c>
      <c r="B46" s="7" t="s">
        <v>998</v>
      </c>
      <c r="C46" s="7" t="s">
        <v>1063</v>
      </c>
      <c r="D46" s="7" t="s">
        <v>1064</v>
      </c>
      <c r="E46" s="7" t="s">
        <v>1001</v>
      </c>
      <c r="F46" s="7" t="s">
        <v>1002</v>
      </c>
    </row>
    <row r="47" spans="1:6" ht="23" x14ac:dyDescent="0.35">
      <c r="A47" s="7" t="s">
        <v>1065</v>
      </c>
      <c r="B47" s="7" t="s">
        <v>1066</v>
      </c>
      <c r="C47" s="7" t="s">
        <v>1067</v>
      </c>
      <c r="D47" s="7" t="s">
        <v>77</v>
      </c>
      <c r="E47" s="7" t="s">
        <v>1068</v>
      </c>
      <c r="F47" s="7" t="s">
        <v>1069</v>
      </c>
    </row>
    <row r="48" spans="1:6" ht="23" x14ac:dyDescent="0.35">
      <c r="A48" s="7" t="s">
        <v>1070</v>
      </c>
      <c r="B48" s="7" t="s">
        <v>1066</v>
      </c>
      <c r="C48" s="7" t="s">
        <v>1071</v>
      </c>
      <c r="D48" s="7" t="s">
        <v>923</v>
      </c>
      <c r="E48" s="7" t="s">
        <v>1072</v>
      </c>
      <c r="F48" s="7" t="s">
        <v>1069</v>
      </c>
    </row>
    <row r="49" spans="1:6" ht="23" x14ac:dyDescent="0.35">
      <c r="A49" s="7" t="s">
        <v>1073</v>
      </c>
      <c r="B49" s="7" t="s">
        <v>1066</v>
      </c>
      <c r="C49" s="7" t="s">
        <v>1071</v>
      </c>
      <c r="D49" s="7" t="s">
        <v>932</v>
      </c>
      <c r="E49" s="7" t="s">
        <v>1074</v>
      </c>
      <c r="F49" s="7" t="s">
        <v>1069</v>
      </c>
    </row>
    <row r="50" spans="1:6" ht="23" x14ac:dyDescent="0.35">
      <c r="A50" s="7" t="s">
        <v>1075</v>
      </c>
      <c r="B50" s="7" t="s">
        <v>1066</v>
      </c>
      <c r="C50" s="7" t="s">
        <v>1071</v>
      </c>
      <c r="D50" s="7" t="s">
        <v>941</v>
      </c>
      <c r="E50" s="7" t="s">
        <v>1076</v>
      </c>
      <c r="F50" s="7" t="s">
        <v>1069</v>
      </c>
    </row>
    <row r="51" spans="1:6" ht="34.5" x14ac:dyDescent="0.35">
      <c r="A51" s="7" t="s">
        <v>1077</v>
      </c>
      <c r="B51" s="7" t="s">
        <v>1078</v>
      </c>
      <c r="C51" s="7" t="s">
        <v>465</v>
      </c>
      <c r="D51" s="7" t="s">
        <v>466</v>
      </c>
      <c r="E51" s="7" t="s">
        <v>1079</v>
      </c>
      <c r="F51" s="7" t="s">
        <v>1080</v>
      </c>
    </row>
    <row r="52" spans="1:6" ht="23" x14ac:dyDescent="0.35">
      <c r="A52" s="7" t="s">
        <v>1081</v>
      </c>
      <c r="B52" s="7" t="s">
        <v>1082</v>
      </c>
      <c r="C52" s="7" t="s">
        <v>1083</v>
      </c>
      <c r="D52" s="7" t="s">
        <v>1084</v>
      </c>
      <c r="E52" s="7" t="s">
        <v>1085</v>
      </c>
      <c r="F52" s="7" t="s">
        <v>1086</v>
      </c>
    </row>
  </sheetData>
  <autoFilter ref="A1:F5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1"/>
  <sheetViews>
    <sheetView workbookViewId="0">
      <pane xSplit="2" ySplit="1" topLeftCell="C2" activePane="bottomRight" state="frozen"/>
      <selection pane="topRight"/>
      <selection pane="bottomLeft"/>
      <selection pane="bottomRight"/>
    </sheetView>
  </sheetViews>
  <sheetFormatPr defaultRowHeight="14.5" x14ac:dyDescent="0.35"/>
  <cols>
    <col min="1" max="1" width="9" customWidth="1"/>
    <col min="2" max="2" width="12" customWidth="1"/>
    <col min="3" max="3" width="60" customWidth="1"/>
    <col min="4" max="4" width="40" customWidth="1"/>
    <col min="5" max="5" width="26" customWidth="1"/>
    <col min="6" max="6" width="12" customWidth="1"/>
    <col min="7" max="7" width="55" customWidth="1"/>
    <col min="8" max="8" width="18" customWidth="1"/>
    <col min="9" max="9" width="14" customWidth="1"/>
    <col min="10" max="10" width="9" customWidth="1"/>
  </cols>
  <sheetData>
    <row r="1" spans="1:10" ht="39" x14ac:dyDescent="0.35">
      <c r="A1" s="6" t="s">
        <v>1087</v>
      </c>
      <c r="B1" s="6" t="s">
        <v>1088</v>
      </c>
      <c r="C1" s="6" t="s">
        <v>1089</v>
      </c>
      <c r="D1" s="6" t="s">
        <v>1090</v>
      </c>
      <c r="E1" s="6" t="s">
        <v>1091</v>
      </c>
      <c r="F1" s="6" t="s">
        <v>1092</v>
      </c>
      <c r="G1" s="6" t="s">
        <v>1093</v>
      </c>
      <c r="H1" s="6" t="s">
        <v>1094</v>
      </c>
      <c r="I1" s="6" t="s">
        <v>1095</v>
      </c>
      <c r="J1" s="6" t="s">
        <v>1096</v>
      </c>
    </row>
    <row r="2" spans="1:10" ht="34.5" x14ac:dyDescent="0.35">
      <c r="A2" s="7" t="s">
        <v>1097</v>
      </c>
      <c r="B2" s="7" t="s">
        <v>1098</v>
      </c>
      <c r="C2" s="7" t="s">
        <v>1099</v>
      </c>
      <c r="D2" s="7" t="s">
        <v>1100</v>
      </c>
      <c r="E2" s="7" t="s">
        <v>1101</v>
      </c>
      <c r="F2" s="7" t="s">
        <v>1102</v>
      </c>
      <c r="G2" s="7" t="s">
        <v>1103</v>
      </c>
      <c r="H2" s="7" t="s">
        <v>1104</v>
      </c>
      <c r="I2" s="9"/>
      <c r="J2" s="7" t="str">
        <f t="shared" ref="J2:J33" si="0">IF(I2="","",IF(I2=F2,1,0))</f>
        <v/>
      </c>
    </row>
    <row r="3" spans="1:10" ht="23" x14ac:dyDescent="0.35">
      <c r="A3" s="7" t="s">
        <v>1105</v>
      </c>
      <c r="B3" s="7" t="s">
        <v>1098</v>
      </c>
      <c r="C3" s="7" t="s">
        <v>1106</v>
      </c>
      <c r="D3" s="7" t="s">
        <v>1107</v>
      </c>
      <c r="E3" s="7" t="s">
        <v>1108</v>
      </c>
      <c r="F3" s="7" t="s">
        <v>1102</v>
      </c>
      <c r="G3" s="7" t="s">
        <v>1109</v>
      </c>
      <c r="H3" s="7" t="s">
        <v>1104</v>
      </c>
      <c r="I3" s="9"/>
      <c r="J3" s="7" t="str">
        <f t="shared" si="0"/>
        <v/>
      </c>
    </row>
    <row r="4" spans="1:10" ht="23" x14ac:dyDescent="0.35">
      <c r="A4" s="7" t="s">
        <v>1110</v>
      </c>
      <c r="B4" s="7" t="s">
        <v>1098</v>
      </c>
      <c r="C4" s="7" t="s">
        <v>1111</v>
      </c>
      <c r="D4" s="7" t="s">
        <v>1112</v>
      </c>
      <c r="E4" s="7" t="s">
        <v>1101</v>
      </c>
      <c r="F4" s="7" t="s">
        <v>1102</v>
      </c>
      <c r="G4" s="7" t="s">
        <v>1103</v>
      </c>
      <c r="H4" s="7" t="s">
        <v>1104</v>
      </c>
      <c r="I4" s="9"/>
      <c r="J4" s="7" t="str">
        <f t="shared" si="0"/>
        <v/>
      </c>
    </row>
    <row r="5" spans="1:10" ht="23" x14ac:dyDescent="0.35">
      <c r="A5" s="7" t="s">
        <v>1113</v>
      </c>
      <c r="B5" s="7" t="s">
        <v>1098</v>
      </c>
      <c r="C5" s="7" t="s">
        <v>1114</v>
      </c>
      <c r="D5" s="7" t="s">
        <v>1115</v>
      </c>
      <c r="E5" s="7" t="s">
        <v>1108</v>
      </c>
      <c r="F5" s="7" t="s">
        <v>1102</v>
      </c>
      <c r="G5" s="7" t="s">
        <v>1109</v>
      </c>
      <c r="H5" s="7" t="s">
        <v>1104</v>
      </c>
      <c r="I5" s="9"/>
      <c r="J5" s="7" t="str">
        <f t="shared" si="0"/>
        <v/>
      </c>
    </row>
    <row r="6" spans="1:10" ht="23" x14ac:dyDescent="0.35">
      <c r="A6" s="7" t="s">
        <v>1116</v>
      </c>
      <c r="B6" s="7" t="s">
        <v>1098</v>
      </c>
      <c r="C6" s="7" t="s">
        <v>1117</v>
      </c>
      <c r="D6" s="7" t="s">
        <v>1118</v>
      </c>
      <c r="E6" s="7" t="s">
        <v>1108</v>
      </c>
      <c r="F6" s="7" t="s">
        <v>1102</v>
      </c>
      <c r="G6" s="7" t="s">
        <v>1109</v>
      </c>
      <c r="H6" s="7" t="s">
        <v>1104</v>
      </c>
      <c r="I6" s="9"/>
      <c r="J6" s="7" t="str">
        <f t="shared" si="0"/>
        <v/>
      </c>
    </row>
    <row r="7" spans="1:10" ht="23" x14ac:dyDescent="0.35">
      <c r="A7" s="7" t="s">
        <v>1119</v>
      </c>
      <c r="B7" s="7" t="s">
        <v>1098</v>
      </c>
      <c r="C7" s="7" t="s">
        <v>1120</v>
      </c>
      <c r="D7" s="7" t="s">
        <v>1121</v>
      </c>
      <c r="E7" s="7" t="s">
        <v>1108</v>
      </c>
      <c r="F7" s="7" t="s">
        <v>1102</v>
      </c>
      <c r="G7" s="7" t="s">
        <v>1109</v>
      </c>
      <c r="H7" s="7" t="s">
        <v>1104</v>
      </c>
      <c r="I7" s="9"/>
      <c r="J7" s="7" t="str">
        <f t="shared" si="0"/>
        <v/>
      </c>
    </row>
    <row r="8" spans="1:10" ht="34.5" x14ac:dyDescent="0.35">
      <c r="A8" s="7" t="s">
        <v>1122</v>
      </c>
      <c r="B8" s="7" t="s">
        <v>1098</v>
      </c>
      <c r="C8" s="7" t="s">
        <v>1123</v>
      </c>
      <c r="D8" s="7" t="s">
        <v>1124</v>
      </c>
      <c r="E8" s="7" t="s">
        <v>1125</v>
      </c>
      <c r="F8" s="7" t="s">
        <v>1126</v>
      </c>
      <c r="G8" s="7" t="s">
        <v>1127</v>
      </c>
      <c r="H8" s="7" t="s">
        <v>1104</v>
      </c>
      <c r="I8" s="9"/>
      <c r="J8" s="7" t="str">
        <f t="shared" si="0"/>
        <v/>
      </c>
    </row>
    <row r="9" spans="1:10" ht="23" x14ac:dyDescent="0.35">
      <c r="A9" s="7" t="s">
        <v>1128</v>
      </c>
      <c r="B9" s="7" t="s">
        <v>1098</v>
      </c>
      <c r="C9" s="7" t="s">
        <v>1129</v>
      </c>
      <c r="D9" s="7" t="s">
        <v>1130</v>
      </c>
      <c r="E9" s="7" t="s">
        <v>1125</v>
      </c>
      <c r="F9" s="7" t="s">
        <v>1126</v>
      </c>
      <c r="G9" s="7" t="s">
        <v>1131</v>
      </c>
      <c r="H9" s="7" t="s">
        <v>1104</v>
      </c>
      <c r="I9" s="9"/>
      <c r="J9" s="7" t="str">
        <f t="shared" si="0"/>
        <v/>
      </c>
    </row>
    <row r="10" spans="1:10" ht="34.5" x14ac:dyDescent="0.35">
      <c r="A10" s="7" t="s">
        <v>1132</v>
      </c>
      <c r="B10" s="7" t="s">
        <v>1098</v>
      </c>
      <c r="C10" s="7" t="s">
        <v>1133</v>
      </c>
      <c r="D10" s="7" t="s">
        <v>1134</v>
      </c>
      <c r="E10" s="7" t="s">
        <v>1108</v>
      </c>
      <c r="F10" s="7" t="s">
        <v>1102</v>
      </c>
      <c r="G10" s="7" t="s">
        <v>1109</v>
      </c>
      <c r="H10" s="7" t="s">
        <v>1104</v>
      </c>
      <c r="I10" s="9"/>
      <c r="J10" s="7" t="str">
        <f t="shared" si="0"/>
        <v/>
      </c>
    </row>
    <row r="11" spans="1:10" ht="34.5" x14ac:dyDescent="0.35">
      <c r="A11" s="7" t="s">
        <v>1135</v>
      </c>
      <c r="B11" s="7" t="s">
        <v>1098</v>
      </c>
      <c r="C11" s="7" t="s">
        <v>1136</v>
      </c>
      <c r="D11" s="7" t="s">
        <v>1137</v>
      </c>
      <c r="E11" s="7" t="s">
        <v>1108</v>
      </c>
      <c r="F11" s="7" t="s">
        <v>1102</v>
      </c>
      <c r="G11" s="7" t="s">
        <v>1109</v>
      </c>
      <c r="H11" s="7" t="s">
        <v>1104</v>
      </c>
      <c r="I11" s="9"/>
      <c r="J11" s="7" t="str">
        <f t="shared" si="0"/>
        <v/>
      </c>
    </row>
    <row r="12" spans="1:10" ht="23" x14ac:dyDescent="0.35">
      <c r="A12" s="7" t="s">
        <v>1138</v>
      </c>
      <c r="B12" s="7" t="s">
        <v>1098</v>
      </c>
      <c r="C12" s="7" t="s">
        <v>1139</v>
      </c>
      <c r="D12" s="7" t="s">
        <v>1140</v>
      </c>
      <c r="E12" s="7" t="s">
        <v>1125</v>
      </c>
      <c r="F12" s="7" t="s">
        <v>1126</v>
      </c>
      <c r="G12" s="7" t="s">
        <v>1141</v>
      </c>
      <c r="H12" s="7" t="s">
        <v>1104</v>
      </c>
      <c r="I12" s="9"/>
      <c r="J12" s="7" t="str">
        <f t="shared" si="0"/>
        <v/>
      </c>
    </row>
    <row r="13" spans="1:10" ht="34.5" x14ac:dyDescent="0.35">
      <c r="A13" s="7" t="s">
        <v>1142</v>
      </c>
      <c r="B13" s="7" t="s">
        <v>1143</v>
      </c>
      <c r="C13" s="7" t="s">
        <v>1144</v>
      </c>
      <c r="D13" s="7" t="s">
        <v>1145</v>
      </c>
      <c r="E13" s="7" t="s">
        <v>1101</v>
      </c>
      <c r="F13" s="7" t="s">
        <v>1102</v>
      </c>
      <c r="G13" s="7" t="s">
        <v>1103</v>
      </c>
      <c r="H13" s="7" t="s">
        <v>1104</v>
      </c>
      <c r="I13" s="9"/>
      <c r="J13" s="7" t="str">
        <f t="shared" si="0"/>
        <v/>
      </c>
    </row>
    <row r="14" spans="1:10" ht="34.5" x14ac:dyDescent="0.35">
      <c r="A14" s="7" t="s">
        <v>1146</v>
      </c>
      <c r="B14" s="7" t="s">
        <v>1143</v>
      </c>
      <c r="C14" s="7" t="s">
        <v>1147</v>
      </c>
      <c r="D14" s="7" t="s">
        <v>1148</v>
      </c>
      <c r="E14" s="7" t="s">
        <v>1149</v>
      </c>
      <c r="F14" s="7" t="s">
        <v>1102</v>
      </c>
      <c r="G14" s="7" t="s">
        <v>1150</v>
      </c>
      <c r="H14" s="7" t="s">
        <v>1104</v>
      </c>
      <c r="I14" s="9"/>
      <c r="J14" s="7" t="str">
        <f t="shared" si="0"/>
        <v/>
      </c>
    </row>
    <row r="15" spans="1:10" ht="23" x14ac:dyDescent="0.35">
      <c r="A15" s="7" t="s">
        <v>1151</v>
      </c>
      <c r="B15" s="7" t="s">
        <v>1143</v>
      </c>
      <c r="C15" s="7" t="s">
        <v>1152</v>
      </c>
      <c r="D15" s="7" t="s">
        <v>1153</v>
      </c>
      <c r="E15" s="7" t="s">
        <v>1125</v>
      </c>
      <c r="F15" s="7" t="s">
        <v>1126</v>
      </c>
      <c r="G15" s="7" t="s">
        <v>1154</v>
      </c>
      <c r="H15" s="7" t="s">
        <v>1104</v>
      </c>
      <c r="I15" s="9"/>
      <c r="J15" s="7" t="str">
        <f t="shared" si="0"/>
        <v/>
      </c>
    </row>
    <row r="16" spans="1:10" ht="34.5" x14ac:dyDescent="0.35">
      <c r="A16" s="7" t="s">
        <v>1155</v>
      </c>
      <c r="B16" s="7" t="s">
        <v>1143</v>
      </c>
      <c r="C16" s="7" t="s">
        <v>1156</v>
      </c>
      <c r="D16" s="7" t="s">
        <v>1157</v>
      </c>
      <c r="E16" s="7" t="s">
        <v>1108</v>
      </c>
      <c r="F16" s="7" t="s">
        <v>1102</v>
      </c>
      <c r="G16" s="7" t="s">
        <v>1109</v>
      </c>
      <c r="H16" s="7" t="s">
        <v>1104</v>
      </c>
      <c r="I16" s="9"/>
      <c r="J16" s="7" t="str">
        <f t="shared" si="0"/>
        <v/>
      </c>
    </row>
    <row r="17" spans="1:10" ht="34.5" x14ac:dyDescent="0.35">
      <c r="A17" s="7" t="s">
        <v>1158</v>
      </c>
      <c r="B17" s="7" t="s">
        <v>1143</v>
      </c>
      <c r="C17" s="7" t="s">
        <v>1159</v>
      </c>
      <c r="D17" s="7" t="s">
        <v>1160</v>
      </c>
      <c r="E17" s="7" t="s">
        <v>1161</v>
      </c>
      <c r="F17" s="7" t="s">
        <v>1102</v>
      </c>
      <c r="G17" s="7" t="s">
        <v>1162</v>
      </c>
      <c r="H17" s="7" t="s">
        <v>1104</v>
      </c>
      <c r="I17" s="9"/>
      <c r="J17" s="7" t="str">
        <f t="shared" si="0"/>
        <v/>
      </c>
    </row>
    <row r="18" spans="1:10" ht="23" x14ac:dyDescent="0.35">
      <c r="A18" s="7" t="s">
        <v>1163</v>
      </c>
      <c r="B18" s="7" t="s">
        <v>1143</v>
      </c>
      <c r="C18" s="7" t="s">
        <v>1164</v>
      </c>
      <c r="D18" s="7" t="s">
        <v>1165</v>
      </c>
      <c r="E18" s="7" t="s">
        <v>1149</v>
      </c>
      <c r="F18" s="7" t="s">
        <v>1102</v>
      </c>
      <c r="G18" s="7" t="s">
        <v>1150</v>
      </c>
      <c r="H18" s="7" t="s">
        <v>1104</v>
      </c>
      <c r="I18" s="9"/>
      <c r="J18" s="7" t="str">
        <f t="shared" si="0"/>
        <v/>
      </c>
    </row>
    <row r="19" spans="1:10" ht="23" x14ac:dyDescent="0.35">
      <c r="A19" s="7" t="s">
        <v>1166</v>
      </c>
      <c r="B19" s="7" t="s">
        <v>1167</v>
      </c>
      <c r="C19" s="7" t="s">
        <v>1168</v>
      </c>
      <c r="D19" s="7" t="s">
        <v>1169</v>
      </c>
      <c r="E19" s="7" t="s">
        <v>1108</v>
      </c>
      <c r="F19" s="7" t="s">
        <v>1102</v>
      </c>
      <c r="G19" s="7" t="s">
        <v>1109</v>
      </c>
      <c r="H19" s="7" t="s">
        <v>1104</v>
      </c>
      <c r="I19" s="9"/>
      <c r="J19" s="7" t="str">
        <f t="shared" si="0"/>
        <v/>
      </c>
    </row>
    <row r="20" spans="1:10" ht="34.5" x14ac:dyDescent="0.35">
      <c r="A20" s="7" t="s">
        <v>1170</v>
      </c>
      <c r="B20" s="7" t="s">
        <v>1167</v>
      </c>
      <c r="C20" s="7" t="s">
        <v>1171</v>
      </c>
      <c r="D20" s="7" t="s">
        <v>1172</v>
      </c>
      <c r="E20" s="7" t="s">
        <v>1108</v>
      </c>
      <c r="F20" s="7" t="s">
        <v>1102</v>
      </c>
      <c r="G20" s="7" t="s">
        <v>1109</v>
      </c>
      <c r="H20" s="7" t="s">
        <v>1104</v>
      </c>
      <c r="I20" s="9"/>
      <c r="J20" s="7" t="str">
        <f t="shared" si="0"/>
        <v/>
      </c>
    </row>
    <row r="21" spans="1:10" ht="34.5" x14ac:dyDescent="0.35">
      <c r="A21" s="7" t="s">
        <v>1173</v>
      </c>
      <c r="B21" s="7" t="s">
        <v>1167</v>
      </c>
      <c r="C21" s="7" t="s">
        <v>1174</v>
      </c>
      <c r="D21" s="7" t="s">
        <v>1175</v>
      </c>
      <c r="E21" s="7" t="s">
        <v>1108</v>
      </c>
      <c r="F21" s="7" t="s">
        <v>1102</v>
      </c>
      <c r="G21" s="7" t="s">
        <v>1109</v>
      </c>
      <c r="H21" s="7" t="s">
        <v>1104</v>
      </c>
      <c r="I21" s="9"/>
      <c r="J21" s="7" t="str">
        <f t="shared" si="0"/>
        <v/>
      </c>
    </row>
    <row r="22" spans="1:10" ht="34.5" x14ac:dyDescent="0.35">
      <c r="A22" s="7" t="s">
        <v>1176</v>
      </c>
      <c r="B22" s="7" t="s">
        <v>1167</v>
      </c>
      <c r="C22" s="7" t="s">
        <v>1177</v>
      </c>
      <c r="D22" s="7" t="s">
        <v>1178</v>
      </c>
      <c r="E22" s="7" t="s">
        <v>1108</v>
      </c>
      <c r="F22" s="7" t="s">
        <v>1102</v>
      </c>
      <c r="G22" s="7" t="s">
        <v>1109</v>
      </c>
      <c r="H22" s="7" t="s">
        <v>1104</v>
      </c>
      <c r="I22" s="9"/>
      <c r="J22" s="7" t="str">
        <f t="shared" si="0"/>
        <v/>
      </c>
    </row>
    <row r="23" spans="1:10" ht="23" x14ac:dyDescent="0.35">
      <c r="A23" s="7" t="s">
        <v>1179</v>
      </c>
      <c r="B23" s="7" t="s">
        <v>1167</v>
      </c>
      <c r="C23" s="7" t="s">
        <v>1180</v>
      </c>
      <c r="D23" s="7" t="s">
        <v>1181</v>
      </c>
      <c r="E23" s="7" t="s">
        <v>1108</v>
      </c>
      <c r="F23" s="7" t="s">
        <v>1102</v>
      </c>
      <c r="G23" s="7" t="s">
        <v>1109</v>
      </c>
      <c r="H23" s="7" t="s">
        <v>1104</v>
      </c>
      <c r="I23" s="9"/>
      <c r="J23" s="7" t="str">
        <f t="shared" si="0"/>
        <v/>
      </c>
    </row>
    <row r="24" spans="1:10" ht="23" x14ac:dyDescent="0.35">
      <c r="A24" s="7" t="s">
        <v>1182</v>
      </c>
      <c r="B24" s="7" t="s">
        <v>1167</v>
      </c>
      <c r="C24" s="7" t="s">
        <v>1183</v>
      </c>
      <c r="D24" s="7" t="s">
        <v>1184</v>
      </c>
      <c r="E24" s="7" t="s">
        <v>1101</v>
      </c>
      <c r="F24" s="7" t="s">
        <v>1102</v>
      </c>
      <c r="G24" s="7" t="s">
        <v>1103</v>
      </c>
      <c r="H24" s="7" t="s">
        <v>1104</v>
      </c>
      <c r="I24" s="9"/>
      <c r="J24" s="7" t="str">
        <f t="shared" si="0"/>
        <v/>
      </c>
    </row>
    <row r="25" spans="1:10" ht="23" x14ac:dyDescent="0.35">
      <c r="A25" s="7" t="s">
        <v>1185</v>
      </c>
      <c r="B25" s="7" t="s">
        <v>1167</v>
      </c>
      <c r="C25" s="7" t="s">
        <v>1186</v>
      </c>
      <c r="D25" s="7" t="s">
        <v>1187</v>
      </c>
      <c r="E25" s="7" t="s">
        <v>1149</v>
      </c>
      <c r="F25" s="7" t="s">
        <v>1102</v>
      </c>
      <c r="G25" s="7" t="s">
        <v>1150</v>
      </c>
      <c r="H25" s="7" t="s">
        <v>1104</v>
      </c>
      <c r="I25" s="9"/>
      <c r="J25" s="7" t="str">
        <f t="shared" si="0"/>
        <v/>
      </c>
    </row>
    <row r="26" spans="1:10" ht="23" x14ac:dyDescent="0.35">
      <c r="A26" s="7" t="s">
        <v>1188</v>
      </c>
      <c r="B26" s="7" t="s">
        <v>1167</v>
      </c>
      <c r="C26" s="7" t="s">
        <v>1189</v>
      </c>
      <c r="D26" s="7" t="s">
        <v>1190</v>
      </c>
      <c r="E26" s="7" t="s">
        <v>1108</v>
      </c>
      <c r="F26" s="7" t="s">
        <v>1102</v>
      </c>
      <c r="G26" s="7" t="s">
        <v>1109</v>
      </c>
      <c r="H26" s="7" t="s">
        <v>1104</v>
      </c>
      <c r="I26" s="9"/>
      <c r="J26" s="7" t="str">
        <f t="shared" si="0"/>
        <v/>
      </c>
    </row>
    <row r="27" spans="1:10" ht="34.5" x14ac:dyDescent="0.35">
      <c r="A27" s="7" t="s">
        <v>1191</v>
      </c>
      <c r="B27" s="7" t="s">
        <v>1167</v>
      </c>
      <c r="C27" s="7" t="s">
        <v>1192</v>
      </c>
      <c r="D27" s="7" t="s">
        <v>1193</v>
      </c>
      <c r="E27" s="7" t="s">
        <v>1108</v>
      </c>
      <c r="F27" s="7" t="s">
        <v>1102</v>
      </c>
      <c r="G27" s="7" t="s">
        <v>1109</v>
      </c>
      <c r="H27" s="7" t="s">
        <v>1104</v>
      </c>
      <c r="I27" s="9"/>
      <c r="J27" s="7" t="str">
        <f t="shared" si="0"/>
        <v/>
      </c>
    </row>
    <row r="28" spans="1:10" ht="34.5" x14ac:dyDescent="0.35">
      <c r="A28" s="7" t="s">
        <v>1194</v>
      </c>
      <c r="B28" s="7" t="s">
        <v>1167</v>
      </c>
      <c r="C28" s="7" t="s">
        <v>1195</v>
      </c>
      <c r="D28" s="7" t="s">
        <v>1196</v>
      </c>
      <c r="E28" s="7" t="s">
        <v>1101</v>
      </c>
      <c r="F28" s="7" t="s">
        <v>1102</v>
      </c>
      <c r="G28" s="7" t="s">
        <v>1103</v>
      </c>
      <c r="H28" s="7" t="s">
        <v>1104</v>
      </c>
      <c r="I28" s="9"/>
      <c r="J28" s="7" t="str">
        <f t="shared" si="0"/>
        <v/>
      </c>
    </row>
    <row r="29" spans="1:10" ht="34.5" x14ac:dyDescent="0.35">
      <c r="A29" s="7" t="s">
        <v>1197</v>
      </c>
      <c r="B29" s="7" t="s">
        <v>1167</v>
      </c>
      <c r="C29" s="7" t="s">
        <v>1198</v>
      </c>
      <c r="D29" s="7" t="s">
        <v>1199</v>
      </c>
      <c r="E29" s="7" t="s">
        <v>1101</v>
      </c>
      <c r="F29" s="7" t="s">
        <v>1102</v>
      </c>
      <c r="G29" s="7" t="s">
        <v>1103</v>
      </c>
      <c r="H29" s="7" t="s">
        <v>1104</v>
      </c>
      <c r="I29" s="9"/>
      <c r="J29" s="7" t="str">
        <f t="shared" si="0"/>
        <v/>
      </c>
    </row>
    <row r="30" spans="1:10" ht="23" x14ac:dyDescent="0.35">
      <c r="A30" s="7" t="s">
        <v>1200</v>
      </c>
      <c r="B30" s="7" t="s">
        <v>1167</v>
      </c>
      <c r="C30" s="7" t="s">
        <v>1201</v>
      </c>
      <c r="D30" s="7" t="s">
        <v>1202</v>
      </c>
      <c r="E30" s="7" t="s">
        <v>1149</v>
      </c>
      <c r="F30" s="7" t="s">
        <v>1102</v>
      </c>
      <c r="G30" s="7" t="s">
        <v>1150</v>
      </c>
      <c r="H30" s="7" t="s">
        <v>1104</v>
      </c>
      <c r="I30" s="9"/>
      <c r="J30" s="7" t="str">
        <f t="shared" si="0"/>
        <v/>
      </c>
    </row>
    <row r="31" spans="1:10" ht="34.5" x14ac:dyDescent="0.35">
      <c r="A31" s="7" t="s">
        <v>1203</v>
      </c>
      <c r="B31" s="7" t="s">
        <v>1167</v>
      </c>
      <c r="C31" s="7" t="s">
        <v>1204</v>
      </c>
      <c r="D31" s="7" t="s">
        <v>1205</v>
      </c>
      <c r="E31" s="7" t="s">
        <v>1149</v>
      </c>
      <c r="F31" s="7" t="s">
        <v>1102</v>
      </c>
      <c r="G31" s="7" t="s">
        <v>1150</v>
      </c>
      <c r="H31" s="7" t="s">
        <v>1104</v>
      </c>
      <c r="I31" s="9"/>
      <c r="J31" s="7" t="str">
        <f t="shared" si="0"/>
        <v/>
      </c>
    </row>
    <row r="32" spans="1:10" ht="23" x14ac:dyDescent="0.35">
      <c r="A32" s="7" t="s">
        <v>1206</v>
      </c>
      <c r="B32" s="7" t="s">
        <v>1207</v>
      </c>
      <c r="C32" s="7" t="s">
        <v>1208</v>
      </c>
      <c r="D32" s="7" t="s">
        <v>1209</v>
      </c>
      <c r="E32" s="7" t="s">
        <v>1108</v>
      </c>
      <c r="F32" s="7" t="s">
        <v>1102</v>
      </c>
      <c r="G32" s="7" t="s">
        <v>1109</v>
      </c>
      <c r="H32" s="7" t="s">
        <v>1104</v>
      </c>
      <c r="I32" s="9"/>
      <c r="J32" s="7" t="str">
        <f t="shared" si="0"/>
        <v/>
      </c>
    </row>
    <row r="33" spans="1:10" ht="34.5" x14ac:dyDescent="0.35">
      <c r="A33" s="7" t="s">
        <v>1210</v>
      </c>
      <c r="B33" s="7" t="s">
        <v>1207</v>
      </c>
      <c r="C33" s="7" t="s">
        <v>1211</v>
      </c>
      <c r="D33" s="7" t="s">
        <v>1212</v>
      </c>
      <c r="E33" s="7" t="s">
        <v>1213</v>
      </c>
      <c r="F33" s="7" t="s">
        <v>1102</v>
      </c>
      <c r="G33" s="7" t="s">
        <v>1214</v>
      </c>
      <c r="H33" s="7" t="s">
        <v>1104</v>
      </c>
      <c r="I33" s="9"/>
      <c r="J33" s="7" t="str">
        <f t="shared" si="0"/>
        <v/>
      </c>
    </row>
    <row r="34" spans="1:10" ht="23" x14ac:dyDescent="0.35">
      <c r="A34" s="7" t="s">
        <v>1215</v>
      </c>
      <c r="B34" s="7" t="s">
        <v>1207</v>
      </c>
      <c r="C34" s="7" t="s">
        <v>1216</v>
      </c>
      <c r="D34" s="7" t="s">
        <v>1217</v>
      </c>
      <c r="E34" s="7" t="s">
        <v>1149</v>
      </c>
      <c r="F34" s="7" t="s">
        <v>1102</v>
      </c>
      <c r="G34" s="7" t="s">
        <v>1150</v>
      </c>
      <c r="H34" s="7" t="s">
        <v>1104</v>
      </c>
      <c r="I34" s="9"/>
      <c r="J34" s="7" t="str">
        <f t="shared" ref="J34:J65" si="1">IF(I34="","",IF(I34=F34,1,0))</f>
        <v/>
      </c>
    </row>
    <row r="35" spans="1:10" ht="34.5" x14ac:dyDescent="0.35">
      <c r="A35" s="7" t="s">
        <v>1218</v>
      </c>
      <c r="B35" s="7" t="s">
        <v>1207</v>
      </c>
      <c r="C35" s="7" t="s">
        <v>1219</v>
      </c>
      <c r="D35" s="7" t="s">
        <v>1220</v>
      </c>
      <c r="E35" s="7" t="s">
        <v>1108</v>
      </c>
      <c r="F35" s="7" t="s">
        <v>1102</v>
      </c>
      <c r="G35" s="7" t="s">
        <v>1109</v>
      </c>
      <c r="H35" s="7" t="s">
        <v>1104</v>
      </c>
      <c r="I35" s="9"/>
      <c r="J35" s="7" t="str">
        <f t="shared" si="1"/>
        <v/>
      </c>
    </row>
    <row r="36" spans="1:10" ht="23" x14ac:dyDescent="0.35">
      <c r="A36" s="7" t="s">
        <v>1221</v>
      </c>
      <c r="B36" s="7" t="s">
        <v>1207</v>
      </c>
      <c r="C36" s="7" t="s">
        <v>1222</v>
      </c>
      <c r="D36" s="7" t="s">
        <v>1223</v>
      </c>
      <c r="E36" s="7" t="s">
        <v>1149</v>
      </c>
      <c r="F36" s="7" t="s">
        <v>1102</v>
      </c>
      <c r="G36" s="7" t="s">
        <v>1150</v>
      </c>
      <c r="H36" s="7" t="s">
        <v>1104</v>
      </c>
      <c r="I36" s="9"/>
      <c r="J36" s="7" t="str">
        <f t="shared" si="1"/>
        <v/>
      </c>
    </row>
    <row r="37" spans="1:10" ht="34.5" x14ac:dyDescent="0.35">
      <c r="A37" s="7" t="s">
        <v>1224</v>
      </c>
      <c r="B37" s="7" t="s">
        <v>1207</v>
      </c>
      <c r="C37" s="7" t="s">
        <v>1225</v>
      </c>
      <c r="D37" s="7" t="s">
        <v>1226</v>
      </c>
      <c r="E37" s="7" t="s">
        <v>1101</v>
      </c>
      <c r="F37" s="7" t="s">
        <v>1102</v>
      </c>
      <c r="G37" s="7" t="s">
        <v>1103</v>
      </c>
      <c r="H37" s="7" t="s">
        <v>1104</v>
      </c>
      <c r="I37" s="9"/>
      <c r="J37" s="7" t="str">
        <f t="shared" si="1"/>
        <v/>
      </c>
    </row>
    <row r="38" spans="1:10" ht="23" x14ac:dyDescent="0.35">
      <c r="A38" s="7" t="s">
        <v>1227</v>
      </c>
      <c r="B38" s="7" t="s">
        <v>1207</v>
      </c>
      <c r="C38" s="7" t="s">
        <v>1228</v>
      </c>
      <c r="D38" s="7" t="s">
        <v>1229</v>
      </c>
      <c r="E38" s="7" t="s">
        <v>1101</v>
      </c>
      <c r="F38" s="7" t="s">
        <v>1102</v>
      </c>
      <c r="G38" s="7" t="s">
        <v>1103</v>
      </c>
      <c r="H38" s="7" t="s">
        <v>1104</v>
      </c>
      <c r="I38" s="9"/>
      <c r="J38" s="7" t="str">
        <f t="shared" si="1"/>
        <v/>
      </c>
    </row>
    <row r="39" spans="1:10" ht="34.5" x14ac:dyDescent="0.35">
      <c r="A39" s="7" t="s">
        <v>1230</v>
      </c>
      <c r="B39" s="7" t="s">
        <v>1207</v>
      </c>
      <c r="C39" s="7" t="s">
        <v>1231</v>
      </c>
      <c r="D39" s="7" t="s">
        <v>1232</v>
      </c>
      <c r="E39" s="7" t="s">
        <v>1108</v>
      </c>
      <c r="F39" s="7" t="s">
        <v>1102</v>
      </c>
      <c r="G39" s="7" t="s">
        <v>1109</v>
      </c>
      <c r="H39" s="7" t="s">
        <v>1104</v>
      </c>
      <c r="I39" s="9"/>
      <c r="J39" s="7" t="str">
        <f t="shared" si="1"/>
        <v/>
      </c>
    </row>
    <row r="40" spans="1:10" ht="34.5" x14ac:dyDescent="0.35">
      <c r="A40" s="7" t="s">
        <v>1233</v>
      </c>
      <c r="B40" s="7" t="s">
        <v>1207</v>
      </c>
      <c r="C40" s="7" t="s">
        <v>1234</v>
      </c>
      <c r="D40" s="7" t="s">
        <v>1235</v>
      </c>
      <c r="E40" s="7" t="s">
        <v>1236</v>
      </c>
      <c r="F40" s="7" t="s">
        <v>1126</v>
      </c>
      <c r="G40" s="7" t="s">
        <v>1237</v>
      </c>
      <c r="H40" s="7" t="s">
        <v>1104</v>
      </c>
      <c r="I40" s="9"/>
      <c r="J40" s="7" t="str">
        <f t="shared" si="1"/>
        <v/>
      </c>
    </row>
    <row r="41" spans="1:10" ht="23" x14ac:dyDescent="0.35">
      <c r="A41" s="7" t="s">
        <v>1238</v>
      </c>
      <c r="B41" s="7" t="s">
        <v>1207</v>
      </c>
      <c r="C41" s="7" t="s">
        <v>1239</v>
      </c>
      <c r="D41" s="7" t="s">
        <v>1240</v>
      </c>
      <c r="E41" s="7" t="s">
        <v>1101</v>
      </c>
      <c r="F41" s="7" t="s">
        <v>1102</v>
      </c>
      <c r="G41" s="7" t="s">
        <v>1103</v>
      </c>
      <c r="H41" s="7" t="s">
        <v>1104</v>
      </c>
      <c r="I41" s="9"/>
      <c r="J41" s="7" t="str">
        <f t="shared" si="1"/>
        <v/>
      </c>
    </row>
    <row r="42" spans="1:10" ht="23" x14ac:dyDescent="0.35">
      <c r="A42" s="7" t="s">
        <v>1241</v>
      </c>
      <c r="B42" s="7" t="s">
        <v>1207</v>
      </c>
      <c r="C42" s="7" t="s">
        <v>1242</v>
      </c>
      <c r="D42" s="7" t="s">
        <v>1243</v>
      </c>
      <c r="E42" s="7" t="s">
        <v>1108</v>
      </c>
      <c r="F42" s="7" t="s">
        <v>1102</v>
      </c>
      <c r="G42" s="7" t="s">
        <v>1109</v>
      </c>
      <c r="H42" s="7" t="s">
        <v>1104</v>
      </c>
      <c r="I42" s="9"/>
      <c r="J42" s="7" t="str">
        <f t="shared" si="1"/>
        <v/>
      </c>
    </row>
    <row r="43" spans="1:10" ht="23" x14ac:dyDescent="0.35">
      <c r="A43" s="7" t="s">
        <v>1244</v>
      </c>
      <c r="B43" s="7" t="s">
        <v>1207</v>
      </c>
      <c r="C43" s="7" t="s">
        <v>1245</v>
      </c>
      <c r="D43" s="7" t="s">
        <v>1246</v>
      </c>
      <c r="E43" s="7" t="s">
        <v>1125</v>
      </c>
      <c r="F43" s="7" t="s">
        <v>1126</v>
      </c>
      <c r="G43" s="7" t="s">
        <v>1247</v>
      </c>
      <c r="H43" s="7" t="s">
        <v>1104</v>
      </c>
      <c r="I43" s="9"/>
      <c r="J43" s="7" t="str">
        <f t="shared" si="1"/>
        <v/>
      </c>
    </row>
    <row r="44" spans="1:10" ht="23" x14ac:dyDescent="0.35">
      <c r="A44" s="7" t="s">
        <v>1248</v>
      </c>
      <c r="B44" s="7" t="s">
        <v>1249</v>
      </c>
      <c r="C44" s="7" t="s">
        <v>1250</v>
      </c>
      <c r="D44" s="7" t="s">
        <v>1251</v>
      </c>
      <c r="E44" s="7" t="s">
        <v>1125</v>
      </c>
      <c r="F44" s="7" t="s">
        <v>1126</v>
      </c>
      <c r="G44" s="7" t="s">
        <v>1252</v>
      </c>
      <c r="H44" s="7" t="s">
        <v>1104</v>
      </c>
      <c r="I44" s="9"/>
      <c r="J44" s="7" t="str">
        <f t="shared" si="1"/>
        <v/>
      </c>
    </row>
    <row r="45" spans="1:10" ht="23" x14ac:dyDescent="0.35">
      <c r="A45" s="7" t="s">
        <v>1253</v>
      </c>
      <c r="B45" s="7" t="s">
        <v>1249</v>
      </c>
      <c r="C45" s="7" t="s">
        <v>1254</v>
      </c>
      <c r="D45" s="7" t="s">
        <v>1255</v>
      </c>
      <c r="E45" s="7" t="s">
        <v>1108</v>
      </c>
      <c r="F45" s="7" t="s">
        <v>1102</v>
      </c>
      <c r="G45" s="7" t="s">
        <v>1109</v>
      </c>
      <c r="H45" s="7" t="s">
        <v>1104</v>
      </c>
      <c r="I45" s="9"/>
      <c r="J45" s="7" t="str">
        <f t="shared" si="1"/>
        <v/>
      </c>
    </row>
    <row r="46" spans="1:10" ht="34.5" x14ac:dyDescent="0.35">
      <c r="A46" s="7" t="s">
        <v>1256</v>
      </c>
      <c r="B46" s="7" t="s">
        <v>1249</v>
      </c>
      <c r="C46" s="7" t="s">
        <v>1257</v>
      </c>
      <c r="D46" s="7" t="s">
        <v>1258</v>
      </c>
      <c r="E46" s="7" t="s">
        <v>1125</v>
      </c>
      <c r="F46" s="7" t="s">
        <v>1126</v>
      </c>
      <c r="G46" s="7" t="s">
        <v>1259</v>
      </c>
      <c r="H46" s="7" t="s">
        <v>1104</v>
      </c>
      <c r="I46" s="9"/>
      <c r="J46" s="7" t="str">
        <f t="shared" si="1"/>
        <v/>
      </c>
    </row>
    <row r="47" spans="1:10" ht="23" x14ac:dyDescent="0.35">
      <c r="A47" s="7" t="s">
        <v>1260</v>
      </c>
      <c r="B47" s="7" t="s">
        <v>1249</v>
      </c>
      <c r="C47" s="7" t="s">
        <v>1261</v>
      </c>
      <c r="D47" s="7" t="s">
        <v>1262</v>
      </c>
      <c r="E47" s="7" t="s">
        <v>1101</v>
      </c>
      <c r="F47" s="7" t="s">
        <v>1102</v>
      </c>
      <c r="G47" s="7" t="s">
        <v>1103</v>
      </c>
      <c r="H47" s="7" t="s">
        <v>1104</v>
      </c>
      <c r="I47" s="9"/>
      <c r="J47" s="7" t="str">
        <f t="shared" si="1"/>
        <v/>
      </c>
    </row>
    <row r="48" spans="1:10" ht="34.5" x14ac:dyDescent="0.35">
      <c r="A48" s="7" t="s">
        <v>1263</v>
      </c>
      <c r="B48" s="7" t="s">
        <v>1249</v>
      </c>
      <c r="C48" s="7" t="s">
        <v>1264</v>
      </c>
      <c r="D48" s="7" t="s">
        <v>1265</v>
      </c>
      <c r="E48" s="7" t="s">
        <v>1101</v>
      </c>
      <c r="F48" s="7" t="s">
        <v>1102</v>
      </c>
      <c r="G48" s="7" t="s">
        <v>1103</v>
      </c>
      <c r="H48" s="7" t="s">
        <v>1104</v>
      </c>
      <c r="I48" s="9"/>
      <c r="J48" s="7" t="str">
        <f t="shared" si="1"/>
        <v/>
      </c>
    </row>
    <row r="49" spans="1:10" ht="23" x14ac:dyDescent="0.35">
      <c r="A49" s="7" t="s">
        <v>1266</v>
      </c>
      <c r="B49" s="7" t="s">
        <v>1249</v>
      </c>
      <c r="C49" s="7" t="s">
        <v>1267</v>
      </c>
      <c r="D49" s="7" t="s">
        <v>1268</v>
      </c>
      <c r="E49" s="7" t="s">
        <v>1101</v>
      </c>
      <c r="F49" s="7" t="s">
        <v>1102</v>
      </c>
      <c r="G49" s="7" t="s">
        <v>1103</v>
      </c>
      <c r="H49" s="7" t="s">
        <v>1104</v>
      </c>
      <c r="I49" s="9"/>
      <c r="J49" s="7" t="str">
        <f t="shared" si="1"/>
        <v/>
      </c>
    </row>
    <row r="50" spans="1:10" ht="23" x14ac:dyDescent="0.35">
      <c r="A50" s="7" t="s">
        <v>1269</v>
      </c>
      <c r="B50" s="7" t="s">
        <v>1249</v>
      </c>
      <c r="C50" s="7" t="s">
        <v>1270</v>
      </c>
      <c r="D50" s="7" t="s">
        <v>1271</v>
      </c>
      <c r="E50" s="7" t="s">
        <v>1108</v>
      </c>
      <c r="F50" s="7" t="s">
        <v>1102</v>
      </c>
      <c r="G50" s="7" t="s">
        <v>1109</v>
      </c>
      <c r="H50" s="7" t="s">
        <v>1104</v>
      </c>
      <c r="I50" s="9"/>
      <c r="J50" s="7" t="str">
        <f t="shared" si="1"/>
        <v/>
      </c>
    </row>
    <row r="51" spans="1:10" ht="23" x14ac:dyDescent="0.35">
      <c r="A51" s="7" t="s">
        <v>1272</v>
      </c>
      <c r="B51" s="7" t="s">
        <v>1249</v>
      </c>
      <c r="C51" s="7" t="s">
        <v>1273</v>
      </c>
      <c r="D51" s="7" t="s">
        <v>1274</v>
      </c>
      <c r="E51" s="7" t="s">
        <v>1101</v>
      </c>
      <c r="F51" s="7" t="s">
        <v>1102</v>
      </c>
      <c r="G51" s="7" t="s">
        <v>1103</v>
      </c>
      <c r="H51" s="7" t="s">
        <v>1104</v>
      </c>
      <c r="I51" s="9"/>
      <c r="J51" s="7" t="str">
        <f t="shared" si="1"/>
        <v/>
      </c>
    </row>
    <row r="52" spans="1:10" ht="23" x14ac:dyDescent="0.35">
      <c r="A52" s="7" t="s">
        <v>1275</v>
      </c>
      <c r="B52" s="7" t="s">
        <v>1249</v>
      </c>
      <c r="C52" s="7" t="s">
        <v>1276</v>
      </c>
      <c r="D52" s="7" t="s">
        <v>1277</v>
      </c>
      <c r="E52" s="7" t="s">
        <v>1108</v>
      </c>
      <c r="F52" s="7" t="s">
        <v>1102</v>
      </c>
      <c r="G52" s="7" t="s">
        <v>1109</v>
      </c>
      <c r="H52" s="7" t="s">
        <v>1104</v>
      </c>
      <c r="I52" s="9"/>
      <c r="J52" s="7" t="str">
        <f t="shared" si="1"/>
        <v/>
      </c>
    </row>
    <row r="53" spans="1:10" ht="23" x14ac:dyDescent="0.35">
      <c r="A53" s="7" t="s">
        <v>1278</v>
      </c>
      <c r="B53" s="7" t="s">
        <v>1249</v>
      </c>
      <c r="C53" s="7" t="s">
        <v>1279</v>
      </c>
      <c r="D53" s="7" t="s">
        <v>1280</v>
      </c>
      <c r="E53" s="7" t="s">
        <v>1108</v>
      </c>
      <c r="F53" s="7" t="s">
        <v>1102</v>
      </c>
      <c r="G53" s="7" t="s">
        <v>1109</v>
      </c>
      <c r="H53" s="7" t="s">
        <v>1104</v>
      </c>
      <c r="I53" s="9"/>
      <c r="J53" s="7" t="str">
        <f t="shared" si="1"/>
        <v/>
      </c>
    </row>
    <row r="54" spans="1:10" ht="34.5" x14ac:dyDescent="0.35">
      <c r="A54" s="7" t="s">
        <v>1281</v>
      </c>
      <c r="B54" s="7" t="s">
        <v>1249</v>
      </c>
      <c r="C54" s="7" t="s">
        <v>1282</v>
      </c>
      <c r="D54" s="7" t="s">
        <v>1283</v>
      </c>
      <c r="E54" s="7" t="s">
        <v>1101</v>
      </c>
      <c r="F54" s="7" t="s">
        <v>1102</v>
      </c>
      <c r="G54" s="7" t="s">
        <v>1103</v>
      </c>
      <c r="H54" s="7" t="s">
        <v>1104</v>
      </c>
      <c r="I54" s="9"/>
      <c r="J54" s="7" t="str">
        <f t="shared" si="1"/>
        <v/>
      </c>
    </row>
    <row r="55" spans="1:10" ht="34.5" x14ac:dyDescent="0.35">
      <c r="A55" s="7" t="s">
        <v>1284</v>
      </c>
      <c r="B55" s="7" t="s">
        <v>1249</v>
      </c>
      <c r="C55" s="7" t="s">
        <v>1285</v>
      </c>
      <c r="D55" s="7" t="s">
        <v>1286</v>
      </c>
      <c r="E55" s="7" t="s">
        <v>1108</v>
      </c>
      <c r="F55" s="7" t="s">
        <v>1102</v>
      </c>
      <c r="G55" s="7" t="s">
        <v>1109</v>
      </c>
      <c r="H55" s="7" t="s">
        <v>1104</v>
      </c>
      <c r="I55" s="9"/>
      <c r="J55" s="7" t="str">
        <f t="shared" si="1"/>
        <v/>
      </c>
    </row>
    <row r="56" spans="1:10" ht="34.5" x14ac:dyDescent="0.35">
      <c r="A56" s="7" t="s">
        <v>1287</v>
      </c>
      <c r="B56" s="7" t="s">
        <v>1249</v>
      </c>
      <c r="C56" s="7" t="s">
        <v>1288</v>
      </c>
      <c r="D56" s="7" t="s">
        <v>1289</v>
      </c>
      <c r="E56" s="7" t="s">
        <v>1108</v>
      </c>
      <c r="F56" s="7" t="s">
        <v>1102</v>
      </c>
      <c r="G56" s="7" t="s">
        <v>1109</v>
      </c>
      <c r="H56" s="7" t="s">
        <v>1104</v>
      </c>
      <c r="I56" s="9"/>
      <c r="J56" s="7" t="str">
        <f t="shared" si="1"/>
        <v/>
      </c>
    </row>
    <row r="57" spans="1:10" ht="34.5" x14ac:dyDescent="0.35">
      <c r="A57" s="7" t="s">
        <v>1290</v>
      </c>
      <c r="B57" s="7" t="s">
        <v>1249</v>
      </c>
      <c r="C57" s="7" t="s">
        <v>1291</v>
      </c>
      <c r="D57" s="7" t="s">
        <v>1292</v>
      </c>
      <c r="E57" s="7" t="s">
        <v>1108</v>
      </c>
      <c r="F57" s="7" t="s">
        <v>1102</v>
      </c>
      <c r="G57" s="7" t="s">
        <v>1109</v>
      </c>
      <c r="H57" s="7" t="s">
        <v>1104</v>
      </c>
      <c r="I57" s="9"/>
      <c r="J57" s="7" t="str">
        <f t="shared" si="1"/>
        <v/>
      </c>
    </row>
    <row r="58" spans="1:10" ht="34.5" x14ac:dyDescent="0.35">
      <c r="A58" s="7" t="s">
        <v>1293</v>
      </c>
      <c r="B58" s="7" t="s">
        <v>1294</v>
      </c>
      <c r="C58" s="7" t="s">
        <v>1295</v>
      </c>
      <c r="D58" s="7" t="s">
        <v>1296</v>
      </c>
      <c r="E58" s="7" t="s">
        <v>1149</v>
      </c>
      <c r="F58" s="7" t="s">
        <v>1102</v>
      </c>
      <c r="G58" s="7" t="s">
        <v>1150</v>
      </c>
      <c r="H58" s="7" t="s">
        <v>1104</v>
      </c>
      <c r="I58" s="9"/>
      <c r="J58" s="7" t="str">
        <f t="shared" si="1"/>
        <v/>
      </c>
    </row>
    <row r="59" spans="1:10" ht="23" x14ac:dyDescent="0.35">
      <c r="A59" s="7" t="s">
        <v>1297</v>
      </c>
      <c r="B59" s="7" t="s">
        <v>1294</v>
      </c>
      <c r="C59" s="7" t="s">
        <v>1298</v>
      </c>
      <c r="D59" s="7" t="s">
        <v>1299</v>
      </c>
      <c r="E59" s="7" t="s">
        <v>1149</v>
      </c>
      <c r="F59" s="7" t="s">
        <v>1102</v>
      </c>
      <c r="G59" s="7" t="s">
        <v>1150</v>
      </c>
      <c r="H59" s="7" t="s">
        <v>1104</v>
      </c>
      <c r="I59" s="9"/>
      <c r="J59" s="7" t="str">
        <f t="shared" si="1"/>
        <v/>
      </c>
    </row>
    <row r="60" spans="1:10" ht="23" x14ac:dyDescent="0.35">
      <c r="A60" s="7" t="s">
        <v>1300</v>
      </c>
      <c r="B60" s="7" t="s">
        <v>1294</v>
      </c>
      <c r="C60" s="7" t="s">
        <v>1301</v>
      </c>
      <c r="D60" s="7" t="s">
        <v>1302</v>
      </c>
      <c r="E60" s="7" t="s">
        <v>1108</v>
      </c>
      <c r="F60" s="7" t="s">
        <v>1102</v>
      </c>
      <c r="G60" s="7" t="s">
        <v>1109</v>
      </c>
      <c r="H60" s="7" t="s">
        <v>1104</v>
      </c>
      <c r="I60" s="9"/>
      <c r="J60" s="7" t="str">
        <f t="shared" si="1"/>
        <v/>
      </c>
    </row>
    <row r="61" spans="1:10" ht="34.5" x14ac:dyDescent="0.35">
      <c r="A61" s="7" t="s">
        <v>1303</v>
      </c>
      <c r="B61" s="7" t="s">
        <v>1294</v>
      </c>
      <c r="C61" s="7" t="s">
        <v>1304</v>
      </c>
      <c r="D61" s="7" t="s">
        <v>1305</v>
      </c>
      <c r="E61" s="7" t="s">
        <v>1125</v>
      </c>
      <c r="F61" s="7" t="s">
        <v>1126</v>
      </c>
      <c r="G61" s="7" t="s">
        <v>1306</v>
      </c>
      <c r="H61" s="7" t="s">
        <v>1104</v>
      </c>
      <c r="I61" s="9"/>
      <c r="J61" s="7" t="str">
        <f t="shared" si="1"/>
        <v/>
      </c>
    </row>
    <row r="62" spans="1:10" ht="23" x14ac:dyDescent="0.35">
      <c r="A62" s="7" t="s">
        <v>1307</v>
      </c>
      <c r="B62" s="7" t="s">
        <v>1294</v>
      </c>
      <c r="C62" s="7" t="s">
        <v>1308</v>
      </c>
      <c r="D62" s="7" t="s">
        <v>1309</v>
      </c>
      <c r="E62" s="7" t="s">
        <v>1149</v>
      </c>
      <c r="F62" s="7" t="s">
        <v>1102</v>
      </c>
      <c r="G62" s="7" t="s">
        <v>1150</v>
      </c>
      <c r="H62" s="7" t="s">
        <v>1104</v>
      </c>
      <c r="I62" s="9"/>
      <c r="J62" s="7" t="str">
        <f t="shared" si="1"/>
        <v/>
      </c>
    </row>
    <row r="63" spans="1:10" ht="23" x14ac:dyDescent="0.35">
      <c r="A63" s="7" t="s">
        <v>1310</v>
      </c>
      <c r="B63" s="7" t="s">
        <v>1294</v>
      </c>
      <c r="C63" s="7" t="s">
        <v>1311</v>
      </c>
      <c r="D63" s="7" t="s">
        <v>1312</v>
      </c>
      <c r="E63" s="7" t="s">
        <v>1108</v>
      </c>
      <c r="F63" s="7" t="s">
        <v>1102</v>
      </c>
      <c r="G63" s="7" t="s">
        <v>1109</v>
      </c>
      <c r="H63" s="7" t="s">
        <v>1104</v>
      </c>
      <c r="I63" s="9"/>
      <c r="J63" s="7" t="str">
        <f t="shared" si="1"/>
        <v/>
      </c>
    </row>
    <row r="64" spans="1:10" ht="23" x14ac:dyDescent="0.35">
      <c r="A64" s="7" t="s">
        <v>1313</v>
      </c>
      <c r="B64" s="7" t="s">
        <v>1294</v>
      </c>
      <c r="C64" s="7" t="s">
        <v>1314</v>
      </c>
      <c r="D64" s="7" t="s">
        <v>1315</v>
      </c>
      <c r="E64" s="7" t="s">
        <v>1108</v>
      </c>
      <c r="F64" s="7" t="s">
        <v>1102</v>
      </c>
      <c r="G64" s="7" t="s">
        <v>1109</v>
      </c>
      <c r="H64" s="7" t="s">
        <v>1104</v>
      </c>
      <c r="I64" s="9"/>
      <c r="J64" s="7" t="str">
        <f t="shared" si="1"/>
        <v/>
      </c>
    </row>
    <row r="65" spans="1:10" ht="34.5" x14ac:dyDescent="0.35">
      <c r="A65" s="7" t="s">
        <v>1316</v>
      </c>
      <c r="B65" s="7" t="s">
        <v>1294</v>
      </c>
      <c r="C65" s="7" t="s">
        <v>1317</v>
      </c>
      <c r="D65" s="7" t="s">
        <v>1318</v>
      </c>
      <c r="E65" s="7" t="s">
        <v>1108</v>
      </c>
      <c r="F65" s="7" t="s">
        <v>1102</v>
      </c>
      <c r="G65" s="7" t="s">
        <v>1109</v>
      </c>
      <c r="H65" s="7" t="s">
        <v>1104</v>
      </c>
      <c r="I65" s="9"/>
      <c r="J65" s="7" t="str">
        <f t="shared" si="1"/>
        <v/>
      </c>
    </row>
    <row r="66" spans="1:10" ht="34.5" x14ac:dyDescent="0.35">
      <c r="A66" s="7" t="s">
        <v>1319</v>
      </c>
      <c r="B66" s="7" t="s">
        <v>1294</v>
      </c>
      <c r="C66" s="7" t="s">
        <v>1320</v>
      </c>
      <c r="D66" s="7" t="s">
        <v>1321</v>
      </c>
      <c r="E66" s="7" t="s">
        <v>1108</v>
      </c>
      <c r="F66" s="7" t="s">
        <v>1102</v>
      </c>
      <c r="G66" s="7" t="s">
        <v>1109</v>
      </c>
      <c r="H66" s="7" t="s">
        <v>1104</v>
      </c>
      <c r="I66" s="9"/>
      <c r="J66" s="7" t="str">
        <f t="shared" ref="J66:J97" si="2">IF(I66="","",IF(I66=F66,1,0))</f>
        <v/>
      </c>
    </row>
    <row r="67" spans="1:10" ht="23" x14ac:dyDescent="0.35">
      <c r="A67" s="7" t="s">
        <v>1322</v>
      </c>
      <c r="B67" s="7" t="s">
        <v>1323</v>
      </c>
      <c r="C67" s="7" t="s">
        <v>1324</v>
      </c>
      <c r="D67" s="7" t="s">
        <v>1325</v>
      </c>
      <c r="E67" s="7" t="s">
        <v>1108</v>
      </c>
      <c r="F67" s="7" t="s">
        <v>1102</v>
      </c>
      <c r="G67" s="7" t="s">
        <v>1109</v>
      </c>
      <c r="H67" s="7" t="s">
        <v>1104</v>
      </c>
      <c r="I67" s="9"/>
      <c r="J67" s="7" t="str">
        <f t="shared" si="2"/>
        <v/>
      </c>
    </row>
    <row r="68" spans="1:10" ht="34.5" x14ac:dyDescent="0.35">
      <c r="A68" s="7" t="s">
        <v>1326</v>
      </c>
      <c r="B68" s="7" t="s">
        <v>1327</v>
      </c>
      <c r="C68" s="7" t="s">
        <v>1328</v>
      </c>
      <c r="D68" s="7" t="s">
        <v>1329</v>
      </c>
      <c r="E68" s="7" t="s">
        <v>1149</v>
      </c>
      <c r="F68" s="7" t="s">
        <v>1102</v>
      </c>
      <c r="G68" s="7" t="s">
        <v>1150</v>
      </c>
      <c r="H68" s="7" t="s">
        <v>1104</v>
      </c>
      <c r="I68" s="9"/>
      <c r="J68" s="7" t="str">
        <f t="shared" si="2"/>
        <v/>
      </c>
    </row>
    <row r="69" spans="1:10" ht="23" x14ac:dyDescent="0.35">
      <c r="A69" s="7" t="s">
        <v>1330</v>
      </c>
      <c r="B69" s="7" t="s">
        <v>1327</v>
      </c>
      <c r="C69" s="7" t="s">
        <v>1331</v>
      </c>
      <c r="D69" s="7" t="s">
        <v>1332</v>
      </c>
      <c r="E69" s="7" t="s">
        <v>1125</v>
      </c>
      <c r="F69" s="7" t="s">
        <v>1126</v>
      </c>
      <c r="G69" s="7" t="s">
        <v>1333</v>
      </c>
      <c r="H69" s="7" t="s">
        <v>1104</v>
      </c>
      <c r="I69" s="9"/>
      <c r="J69" s="7" t="str">
        <f t="shared" si="2"/>
        <v/>
      </c>
    </row>
    <row r="70" spans="1:10" ht="23" x14ac:dyDescent="0.35">
      <c r="A70" s="7" t="s">
        <v>1334</v>
      </c>
      <c r="B70" s="7" t="s">
        <v>1327</v>
      </c>
      <c r="C70" s="7" t="s">
        <v>1335</v>
      </c>
      <c r="D70" s="7" t="s">
        <v>1336</v>
      </c>
      <c r="E70" s="7" t="s">
        <v>1149</v>
      </c>
      <c r="F70" s="7" t="s">
        <v>1102</v>
      </c>
      <c r="G70" s="7" t="s">
        <v>1150</v>
      </c>
      <c r="H70" s="7" t="s">
        <v>1104</v>
      </c>
      <c r="I70" s="9"/>
      <c r="J70" s="7" t="str">
        <f t="shared" si="2"/>
        <v/>
      </c>
    </row>
    <row r="71" spans="1:10" ht="34.5" x14ac:dyDescent="0.35">
      <c r="A71" s="7" t="s">
        <v>1337</v>
      </c>
      <c r="B71" s="7" t="s">
        <v>1327</v>
      </c>
      <c r="C71" s="7" t="s">
        <v>1338</v>
      </c>
      <c r="D71" s="7" t="s">
        <v>1339</v>
      </c>
      <c r="E71" s="7" t="s">
        <v>1101</v>
      </c>
      <c r="F71" s="7" t="s">
        <v>1102</v>
      </c>
      <c r="G71" s="7" t="s">
        <v>1103</v>
      </c>
      <c r="H71" s="7" t="s">
        <v>1104</v>
      </c>
      <c r="I71" s="9"/>
      <c r="J71" s="7" t="str">
        <f t="shared" si="2"/>
        <v/>
      </c>
    </row>
    <row r="72" spans="1:10" ht="34.5" x14ac:dyDescent="0.35">
      <c r="A72" s="7" t="s">
        <v>1340</v>
      </c>
      <c r="B72" s="7" t="s">
        <v>1327</v>
      </c>
      <c r="C72" s="7" t="s">
        <v>1341</v>
      </c>
      <c r="D72" s="7" t="s">
        <v>1342</v>
      </c>
      <c r="E72" s="7" t="s">
        <v>1108</v>
      </c>
      <c r="F72" s="7" t="s">
        <v>1102</v>
      </c>
      <c r="G72" s="7" t="s">
        <v>1109</v>
      </c>
      <c r="H72" s="7" t="s">
        <v>1104</v>
      </c>
      <c r="I72" s="9"/>
      <c r="J72" s="7" t="str">
        <f t="shared" si="2"/>
        <v/>
      </c>
    </row>
    <row r="73" spans="1:10" ht="23" x14ac:dyDescent="0.35">
      <c r="A73" s="7" t="s">
        <v>1343</v>
      </c>
      <c r="B73" s="7" t="s">
        <v>1327</v>
      </c>
      <c r="C73" s="7" t="s">
        <v>1344</v>
      </c>
      <c r="D73" s="7" t="s">
        <v>1345</v>
      </c>
      <c r="E73" s="7" t="s">
        <v>1346</v>
      </c>
      <c r="F73" s="7" t="s">
        <v>1102</v>
      </c>
      <c r="G73" s="7" t="s">
        <v>1347</v>
      </c>
      <c r="H73" s="7" t="s">
        <v>1104</v>
      </c>
      <c r="I73" s="9"/>
      <c r="J73" s="7" t="str">
        <f t="shared" si="2"/>
        <v/>
      </c>
    </row>
    <row r="74" spans="1:10" ht="23" x14ac:dyDescent="0.35">
      <c r="A74" s="7" t="s">
        <v>1348</v>
      </c>
      <c r="B74" s="7" t="s">
        <v>1327</v>
      </c>
      <c r="C74" s="7" t="s">
        <v>1349</v>
      </c>
      <c r="D74" s="7" t="s">
        <v>1350</v>
      </c>
      <c r="E74" s="7" t="s">
        <v>1149</v>
      </c>
      <c r="F74" s="7" t="s">
        <v>1102</v>
      </c>
      <c r="G74" s="7" t="s">
        <v>1150</v>
      </c>
      <c r="H74" s="7" t="s">
        <v>1104</v>
      </c>
      <c r="I74" s="9"/>
      <c r="J74" s="7" t="str">
        <f t="shared" si="2"/>
        <v/>
      </c>
    </row>
    <row r="75" spans="1:10" ht="46" x14ac:dyDescent="0.35">
      <c r="A75" s="7" t="s">
        <v>1351</v>
      </c>
      <c r="B75" s="7" t="s">
        <v>1327</v>
      </c>
      <c r="C75" s="7" t="s">
        <v>1352</v>
      </c>
      <c r="D75" s="7" t="s">
        <v>1353</v>
      </c>
      <c r="E75" s="7" t="s">
        <v>1108</v>
      </c>
      <c r="F75" s="7" t="s">
        <v>1102</v>
      </c>
      <c r="G75" s="7" t="s">
        <v>1109</v>
      </c>
      <c r="H75" s="7" t="s">
        <v>1104</v>
      </c>
      <c r="I75" s="9"/>
      <c r="J75" s="7" t="str">
        <f t="shared" si="2"/>
        <v/>
      </c>
    </row>
    <row r="76" spans="1:10" ht="34.5" x14ac:dyDescent="0.35">
      <c r="A76" s="7" t="s">
        <v>1354</v>
      </c>
      <c r="B76" s="7" t="s">
        <v>1327</v>
      </c>
      <c r="C76" s="7" t="s">
        <v>1355</v>
      </c>
      <c r="D76" s="7" t="s">
        <v>1356</v>
      </c>
      <c r="E76" s="7" t="s">
        <v>1108</v>
      </c>
      <c r="F76" s="7" t="s">
        <v>1102</v>
      </c>
      <c r="G76" s="7" t="s">
        <v>1109</v>
      </c>
      <c r="H76" s="7" t="s">
        <v>1104</v>
      </c>
      <c r="I76" s="9"/>
      <c r="J76" s="7" t="str">
        <f t="shared" si="2"/>
        <v/>
      </c>
    </row>
    <row r="77" spans="1:10" ht="34.5" x14ac:dyDescent="0.35">
      <c r="A77" s="7" t="s">
        <v>1357</v>
      </c>
      <c r="B77" s="7" t="s">
        <v>1327</v>
      </c>
      <c r="C77" s="7" t="s">
        <v>1358</v>
      </c>
      <c r="D77" s="7" t="s">
        <v>1359</v>
      </c>
      <c r="E77" s="7" t="s">
        <v>1108</v>
      </c>
      <c r="F77" s="7" t="s">
        <v>1102</v>
      </c>
      <c r="G77" s="7" t="s">
        <v>1109</v>
      </c>
      <c r="H77" s="7" t="s">
        <v>1104</v>
      </c>
      <c r="I77" s="9"/>
      <c r="J77" s="7" t="str">
        <f t="shared" si="2"/>
        <v/>
      </c>
    </row>
    <row r="78" spans="1:10" ht="34.5" x14ac:dyDescent="0.35">
      <c r="A78" s="7" t="s">
        <v>1360</v>
      </c>
      <c r="B78" s="7" t="s">
        <v>1327</v>
      </c>
      <c r="C78" s="7" t="s">
        <v>1361</v>
      </c>
      <c r="D78" s="7" t="s">
        <v>1362</v>
      </c>
      <c r="E78" s="7" t="s">
        <v>1108</v>
      </c>
      <c r="F78" s="7" t="s">
        <v>1102</v>
      </c>
      <c r="G78" s="7" t="s">
        <v>1109</v>
      </c>
      <c r="H78" s="7" t="s">
        <v>1104</v>
      </c>
      <c r="I78" s="9"/>
      <c r="J78" s="7" t="str">
        <f t="shared" si="2"/>
        <v/>
      </c>
    </row>
    <row r="79" spans="1:10" ht="23" x14ac:dyDescent="0.35">
      <c r="A79" s="7" t="s">
        <v>1363</v>
      </c>
      <c r="B79" s="7" t="s">
        <v>1364</v>
      </c>
      <c r="C79" s="7" t="s">
        <v>1365</v>
      </c>
      <c r="D79" s="7" t="s">
        <v>1366</v>
      </c>
      <c r="E79" s="7" t="s">
        <v>1149</v>
      </c>
      <c r="F79" s="7" t="s">
        <v>1102</v>
      </c>
      <c r="G79" s="7" t="s">
        <v>1150</v>
      </c>
      <c r="H79" s="7" t="s">
        <v>1104</v>
      </c>
      <c r="I79" s="9"/>
      <c r="J79" s="7" t="str">
        <f t="shared" si="2"/>
        <v/>
      </c>
    </row>
    <row r="80" spans="1:10" ht="23" x14ac:dyDescent="0.35">
      <c r="A80" s="7" t="s">
        <v>1367</v>
      </c>
      <c r="B80" s="7" t="s">
        <v>1364</v>
      </c>
      <c r="C80" s="7" t="s">
        <v>1368</v>
      </c>
      <c r="D80" s="7" t="s">
        <v>1369</v>
      </c>
      <c r="E80" s="7" t="s">
        <v>1101</v>
      </c>
      <c r="F80" s="7" t="s">
        <v>1102</v>
      </c>
      <c r="G80" s="7" t="s">
        <v>1103</v>
      </c>
      <c r="H80" s="7" t="s">
        <v>1104</v>
      </c>
      <c r="I80" s="9"/>
      <c r="J80" s="7" t="str">
        <f t="shared" si="2"/>
        <v/>
      </c>
    </row>
    <row r="81" spans="1:10" ht="23" x14ac:dyDescent="0.35">
      <c r="A81" s="7" t="s">
        <v>1370</v>
      </c>
      <c r="B81" s="7" t="s">
        <v>1364</v>
      </c>
      <c r="C81" s="7" t="s">
        <v>1371</v>
      </c>
      <c r="D81" s="7" t="s">
        <v>1372</v>
      </c>
      <c r="E81" s="7" t="s">
        <v>1149</v>
      </c>
      <c r="F81" s="7" t="s">
        <v>1102</v>
      </c>
      <c r="G81" s="7" t="s">
        <v>1150</v>
      </c>
      <c r="H81" s="7" t="s">
        <v>1104</v>
      </c>
      <c r="I81" s="9"/>
      <c r="J81" s="7" t="str">
        <f t="shared" si="2"/>
        <v/>
      </c>
    </row>
    <row r="82" spans="1:10" ht="23" x14ac:dyDescent="0.35">
      <c r="A82" s="7" t="s">
        <v>1373</v>
      </c>
      <c r="B82" s="7" t="s">
        <v>1364</v>
      </c>
      <c r="C82" s="7" t="s">
        <v>1374</v>
      </c>
      <c r="D82" s="7" t="s">
        <v>1375</v>
      </c>
      <c r="E82" s="7" t="s">
        <v>1149</v>
      </c>
      <c r="F82" s="7" t="s">
        <v>1102</v>
      </c>
      <c r="G82" s="7" t="s">
        <v>1150</v>
      </c>
      <c r="H82" s="7" t="s">
        <v>1104</v>
      </c>
      <c r="I82" s="9"/>
      <c r="J82" s="7" t="str">
        <f t="shared" si="2"/>
        <v/>
      </c>
    </row>
    <row r="83" spans="1:10" ht="34.5" x14ac:dyDescent="0.35">
      <c r="A83" s="7" t="s">
        <v>1376</v>
      </c>
      <c r="B83" s="7" t="s">
        <v>1364</v>
      </c>
      <c r="C83" s="7" t="s">
        <v>1377</v>
      </c>
      <c r="D83" s="7" t="s">
        <v>1378</v>
      </c>
      <c r="E83" s="7" t="s">
        <v>1108</v>
      </c>
      <c r="F83" s="7" t="s">
        <v>1102</v>
      </c>
      <c r="G83" s="7" t="s">
        <v>1109</v>
      </c>
      <c r="H83" s="7" t="s">
        <v>1104</v>
      </c>
      <c r="I83" s="9"/>
      <c r="J83" s="7" t="str">
        <f t="shared" si="2"/>
        <v/>
      </c>
    </row>
    <row r="84" spans="1:10" ht="23" x14ac:dyDescent="0.35">
      <c r="A84" s="7" t="s">
        <v>1379</v>
      </c>
      <c r="B84" s="7" t="s">
        <v>1364</v>
      </c>
      <c r="C84" s="7" t="s">
        <v>1380</v>
      </c>
      <c r="D84" s="7" t="s">
        <v>1381</v>
      </c>
      <c r="E84" s="7" t="s">
        <v>1108</v>
      </c>
      <c r="F84" s="7" t="s">
        <v>1102</v>
      </c>
      <c r="G84" s="7" t="s">
        <v>1109</v>
      </c>
      <c r="H84" s="7" t="s">
        <v>1104</v>
      </c>
      <c r="I84" s="9"/>
      <c r="J84" s="7" t="str">
        <f t="shared" si="2"/>
        <v/>
      </c>
    </row>
    <row r="85" spans="1:10" ht="34.5" x14ac:dyDescent="0.35">
      <c r="A85" s="7" t="s">
        <v>1382</v>
      </c>
      <c r="B85" s="7" t="s">
        <v>1364</v>
      </c>
      <c r="C85" s="7" t="s">
        <v>1383</v>
      </c>
      <c r="D85" s="7" t="s">
        <v>1384</v>
      </c>
      <c r="E85" s="7" t="s">
        <v>1101</v>
      </c>
      <c r="F85" s="7" t="s">
        <v>1102</v>
      </c>
      <c r="G85" s="7" t="s">
        <v>1103</v>
      </c>
      <c r="H85" s="7" t="s">
        <v>1104</v>
      </c>
      <c r="I85" s="9"/>
      <c r="J85" s="7" t="str">
        <f t="shared" si="2"/>
        <v/>
      </c>
    </row>
    <row r="86" spans="1:10" ht="23" x14ac:dyDescent="0.35">
      <c r="A86" s="7" t="s">
        <v>1385</v>
      </c>
      <c r="B86" s="7" t="s">
        <v>1364</v>
      </c>
      <c r="C86" s="7" t="s">
        <v>1386</v>
      </c>
      <c r="D86" s="7" t="s">
        <v>1387</v>
      </c>
      <c r="E86" s="7" t="s">
        <v>1108</v>
      </c>
      <c r="F86" s="7" t="s">
        <v>1102</v>
      </c>
      <c r="G86" s="7" t="s">
        <v>1109</v>
      </c>
      <c r="H86" s="7" t="s">
        <v>1104</v>
      </c>
      <c r="I86" s="9"/>
      <c r="J86" s="7" t="str">
        <f t="shared" si="2"/>
        <v/>
      </c>
    </row>
    <row r="87" spans="1:10" ht="34.5" x14ac:dyDescent="0.35">
      <c r="A87" s="7" t="s">
        <v>1388</v>
      </c>
      <c r="B87" s="7" t="s">
        <v>1364</v>
      </c>
      <c r="C87" s="7" t="s">
        <v>1389</v>
      </c>
      <c r="D87" s="7" t="s">
        <v>1390</v>
      </c>
      <c r="E87" s="7" t="s">
        <v>1149</v>
      </c>
      <c r="F87" s="7" t="s">
        <v>1102</v>
      </c>
      <c r="G87" s="7" t="s">
        <v>1150</v>
      </c>
      <c r="H87" s="7" t="s">
        <v>1104</v>
      </c>
      <c r="I87" s="9"/>
      <c r="J87" s="7" t="str">
        <f t="shared" si="2"/>
        <v/>
      </c>
    </row>
    <row r="88" spans="1:10" ht="34.5" x14ac:dyDescent="0.35">
      <c r="A88" s="7" t="s">
        <v>1391</v>
      </c>
      <c r="B88" s="7" t="s">
        <v>1364</v>
      </c>
      <c r="C88" s="7" t="s">
        <v>1392</v>
      </c>
      <c r="D88" s="7" t="s">
        <v>1393</v>
      </c>
      <c r="E88" s="7" t="s">
        <v>1149</v>
      </c>
      <c r="F88" s="7" t="s">
        <v>1102</v>
      </c>
      <c r="G88" s="7" t="s">
        <v>1150</v>
      </c>
      <c r="H88" s="7" t="s">
        <v>1104</v>
      </c>
      <c r="I88" s="9"/>
      <c r="J88" s="7" t="str">
        <f t="shared" si="2"/>
        <v/>
      </c>
    </row>
    <row r="89" spans="1:10" ht="34.5" x14ac:dyDescent="0.35">
      <c r="A89" s="7" t="s">
        <v>1394</v>
      </c>
      <c r="B89" s="7" t="s">
        <v>1364</v>
      </c>
      <c r="C89" s="7" t="s">
        <v>1395</v>
      </c>
      <c r="D89" s="7" t="s">
        <v>1396</v>
      </c>
      <c r="E89" s="7" t="s">
        <v>1149</v>
      </c>
      <c r="F89" s="7" t="s">
        <v>1102</v>
      </c>
      <c r="G89" s="7" t="s">
        <v>1150</v>
      </c>
      <c r="H89" s="7" t="s">
        <v>1104</v>
      </c>
      <c r="I89" s="9"/>
      <c r="J89" s="7" t="str">
        <f t="shared" si="2"/>
        <v/>
      </c>
    </row>
    <row r="90" spans="1:10" ht="34.5" x14ac:dyDescent="0.35">
      <c r="A90" s="7" t="s">
        <v>1397</v>
      </c>
      <c r="B90" s="7" t="s">
        <v>1364</v>
      </c>
      <c r="C90" s="7" t="s">
        <v>1398</v>
      </c>
      <c r="D90" s="7" t="s">
        <v>1399</v>
      </c>
      <c r="E90" s="7" t="s">
        <v>1149</v>
      </c>
      <c r="F90" s="7" t="s">
        <v>1102</v>
      </c>
      <c r="G90" s="7" t="s">
        <v>1150</v>
      </c>
      <c r="H90" s="7" t="s">
        <v>1104</v>
      </c>
      <c r="I90" s="9"/>
      <c r="J90" s="7" t="str">
        <f t="shared" si="2"/>
        <v/>
      </c>
    </row>
    <row r="91" spans="1:10" ht="23" x14ac:dyDescent="0.35">
      <c r="A91" s="7" t="s">
        <v>1400</v>
      </c>
      <c r="B91" s="7" t="s">
        <v>1364</v>
      </c>
      <c r="C91" s="7" t="s">
        <v>1401</v>
      </c>
      <c r="D91" s="7" t="s">
        <v>1402</v>
      </c>
      <c r="E91" s="7" t="s">
        <v>1125</v>
      </c>
      <c r="F91" s="7" t="s">
        <v>1126</v>
      </c>
      <c r="G91" s="7" t="s">
        <v>1403</v>
      </c>
      <c r="H91" s="7" t="s">
        <v>1104</v>
      </c>
      <c r="I91" s="9"/>
      <c r="J91" s="7" t="str">
        <f t="shared" si="2"/>
        <v/>
      </c>
    </row>
    <row r="92" spans="1:10" ht="34.5" x14ac:dyDescent="0.35">
      <c r="A92" s="7" t="s">
        <v>1404</v>
      </c>
      <c r="B92" s="7" t="s">
        <v>1364</v>
      </c>
      <c r="C92" s="7" t="s">
        <v>1405</v>
      </c>
      <c r="D92" s="7" t="s">
        <v>1406</v>
      </c>
      <c r="E92" s="7" t="s">
        <v>1149</v>
      </c>
      <c r="F92" s="7" t="s">
        <v>1102</v>
      </c>
      <c r="G92" s="7" t="s">
        <v>1150</v>
      </c>
      <c r="H92" s="7" t="s">
        <v>1104</v>
      </c>
      <c r="I92" s="9"/>
      <c r="J92" s="7" t="str">
        <f t="shared" si="2"/>
        <v/>
      </c>
    </row>
    <row r="93" spans="1:10" ht="34.5" x14ac:dyDescent="0.35">
      <c r="A93" s="7" t="s">
        <v>1407</v>
      </c>
      <c r="B93" s="7" t="s">
        <v>1364</v>
      </c>
      <c r="C93" s="7" t="s">
        <v>1408</v>
      </c>
      <c r="D93" s="7" t="s">
        <v>1409</v>
      </c>
      <c r="E93" s="7" t="s">
        <v>1149</v>
      </c>
      <c r="F93" s="7" t="s">
        <v>1102</v>
      </c>
      <c r="G93" s="7" t="s">
        <v>1150</v>
      </c>
      <c r="H93" s="7" t="s">
        <v>1104</v>
      </c>
      <c r="I93" s="9"/>
      <c r="J93" s="7" t="str">
        <f t="shared" si="2"/>
        <v/>
      </c>
    </row>
    <row r="94" spans="1:10" ht="23" x14ac:dyDescent="0.35">
      <c r="A94" s="7" t="s">
        <v>1410</v>
      </c>
      <c r="B94" s="7" t="s">
        <v>1364</v>
      </c>
      <c r="C94" s="7" t="s">
        <v>1411</v>
      </c>
      <c r="D94" s="7" t="s">
        <v>1412</v>
      </c>
      <c r="E94" s="7" t="s">
        <v>1108</v>
      </c>
      <c r="F94" s="7" t="s">
        <v>1102</v>
      </c>
      <c r="G94" s="7" t="s">
        <v>1109</v>
      </c>
      <c r="H94" s="7" t="s">
        <v>1104</v>
      </c>
      <c r="I94" s="9"/>
      <c r="J94" s="7" t="str">
        <f t="shared" si="2"/>
        <v/>
      </c>
    </row>
    <row r="95" spans="1:10" ht="23" x14ac:dyDescent="0.35">
      <c r="A95" s="7" t="s">
        <v>1413</v>
      </c>
      <c r="B95" s="7" t="s">
        <v>1364</v>
      </c>
      <c r="C95" s="7" t="s">
        <v>1414</v>
      </c>
      <c r="D95" s="7" t="s">
        <v>1415</v>
      </c>
      <c r="E95" s="7" t="s">
        <v>1346</v>
      </c>
      <c r="F95" s="7" t="s">
        <v>1102</v>
      </c>
      <c r="G95" s="7" t="s">
        <v>1416</v>
      </c>
      <c r="H95" s="7" t="s">
        <v>1104</v>
      </c>
      <c r="I95" s="9"/>
      <c r="J95" s="7" t="str">
        <f t="shared" si="2"/>
        <v/>
      </c>
    </row>
    <row r="96" spans="1:10" ht="23" x14ac:dyDescent="0.35">
      <c r="A96" s="7" t="s">
        <v>1417</v>
      </c>
      <c r="B96" s="7" t="s">
        <v>1364</v>
      </c>
      <c r="C96" s="7" t="s">
        <v>1418</v>
      </c>
      <c r="D96" s="7" t="s">
        <v>1419</v>
      </c>
      <c r="E96" s="7" t="s">
        <v>1149</v>
      </c>
      <c r="F96" s="7" t="s">
        <v>1102</v>
      </c>
      <c r="G96" s="7" t="s">
        <v>1150</v>
      </c>
      <c r="H96" s="7" t="s">
        <v>1104</v>
      </c>
      <c r="I96" s="9"/>
      <c r="J96" s="7" t="str">
        <f t="shared" si="2"/>
        <v/>
      </c>
    </row>
    <row r="97" spans="1:10" ht="34.5" x14ac:dyDescent="0.35">
      <c r="A97" s="7" t="s">
        <v>1420</v>
      </c>
      <c r="B97" s="7" t="s">
        <v>1364</v>
      </c>
      <c r="C97" s="7" t="s">
        <v>1421</v>
      </c>
      <c r="D97" s="7" t="s">
        <v>1422</v>
      </c>
      <c r="E97" s="7" t="s">
        <v>1108</v>
      </c>
      <c r="F97" s="7" t="s">
        <v>1102</v>
      </c>
      <c r="G97" s="7" t="s">
        <v>1109</v>
      </c>
      <c r="H97" s="7" t="s">
        <v>1104</v>
      </c>
      <c r="I97" s="9"/>
      <c r="J97" s="7" t="str">
        <f t="shared" si="2"/>
        <v/>
      </c>
    </row>
    <row r="98" spans="1:10" ht="34.5" x14ac:dyDescent="0.35">
      <c r="A98" s="7" t="s">
        <v>1423</v>
      </c>
      <c r="B98" s="7" t="s">
        <v>1364</v>
      </c>
      <c r="C98" s="7" t="s">
        <v>1424</v>
      </c>
      <c r="D98" s="7" t="s">
        <v>1425</v>
      </c>
      <c r="E98" s="7" t="s">
        <v>1108</v>
      </c>
      <c r="F98" s="7" t="s">
        <v>1102</v>
      </c>
      <c r="G98" s="7" t="s">
        <v>1109</v>
      </c>
      <c r="H98" s="7" t="s">
        <v>1104</v>
      </c>
      <c r="I98" s="9"/>
      <c r="J98" s="7" t="str">
        <f t="shared" ref="J98:J129" si="3">IF(I98="","",IF(I98=F98,1,0))</f>
        <v/>
      </c>
    </row>
    <row r="99" spans="1:10" ht="23" x14ac:dyDescent="0.35">
      <c r="A99" s="7" t="s">
        <v>1426</v>
      </c>
      <c r="B99" s="7" t="s">
        <v>1427</v>
      </c>
      <c r="C99" s="7" t="s">
        <v>1428</v>
      </c>
      <c r="D99" s="7" t="s">
        <v>1429</v>
      </c>
      <c r="E99" s="7" t="s">
        <v>1108</v>
      </c>
      <c r="F99" s="7" t="s">
        <v>1102</v>
      </c>
      <c r="G99" s="7" t="s">
        <v>1109</v>
      </c>
      <c r="H99" s="7" t="s">
        <v>1104</v>
      </c>
      <c r="I99" s="9"/>
      <c r="J99" s="7" t="str">
        <f t="shared" si="3"/>
        <v/>
      </c>
    </row>
    <row r="100" spans="1:10" ht="34.5" x14ac:dyDescent="0.35">
      <c r="A100" s="7" t="s">
        <v>1430</v>
      </c>
      <c r="B100" s="7" t="s">
        <v>1427</v>
      </c>
      <c r="C100" s="7" t="s">
        <v>1431</v>
      </c>
      <c r="D100" s="7" t="s">
        <v>1432</v>
      </c>
      <c r="E100" s="7" t="s">
        <v>1108</v>
      </c>
      <c r="F100" s="7" t="s">
        <v>1102</v>
      </c>
      <c r="G100" s="7" t="s">
        <v>1109</v>
      </c>
      <c r="H100" s="7" t="s">
        <v>1104</v>
      </c>
      <c r="I100" s="9"/>
      <c r="J100" s="7" t="str">
        <f t="shared" si="3"/>
        <v/>
      </c>
    </row>
    <row r="101" spans="1:10" ht="34.5" x14ac:dyDescent="0.35">
      <c r="A101" s="7" t="s">
        <v>1433</v>
      </c>
      <c r="B101" s="7" t="s">
        <v>1427</v>
      </c>
      <c r="C101" s="7" t="s">
        <v>1434</v>
      </c>
      <c r="D101" s="7" t="s">
        <v>1435</v>
      </c>
      <c r="E101" s="7" t="s">
        <v>1108</v>
      </c>
      <c r="F101" s="7" t="s">
        <v>1102</v>
      </c>
      <c r="G101" s="7" t="s">
        <v>1109</v>
      </c>
      <c r="H101" s="7" t="s">
        <v>1104</v>
      </c>
      <c r="I101" s="9"/>
      <c r="J101" s="7" t="str">
        <f t="shared" si="3"/>
        <v/>
      </c>
    </row>
  </sheetData>
  <autoFilter ref="A1:J101" xr:uid="{00000000-0009-0000-0000-000003000000}"/>
  <dataValidations count="1">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xr:uid="{00000000-0002-0000-0300-000000000000}">
      <formula1>"Y,N"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pane xSplit="2" ySplit="1" topLeftCell="C2" activePane="bottomRight" state="frozen"/>
      <selection pane="topRight"/>
      <selection pane="bottomLeft"/>
      <selection pane="bottomRight"/>
    </sheetView>
  </sheetViews>
  <sheetFormatPr defaultRowHeight="14.5" x14ac:dyDescent="0.35"/>
  <cols>
    <col min="1" max="1" width="8" customWidth="1"/>
    <col min="2" max="2" width="22" customWidth="1"/>
    <col min="3" max="3" width="10" customWidth="1"/>
    <col min="4" max="4" width="45" customWidth="1"/>
    <col min="5" max="5" width="10" customWidth="1"/>
    <col min="6" max="7" width="45" customWidth="1"/>
    <col min="8" max="8" width="50" customWidth="1"/>
  </cols>
  <sheetData>
    <row r="1" spans="1:8" ht="26" x14ac:dyDescent="0.35">
      <c r="A1" s="6" t="s">
        <v>1436</v>
      </c>
      <c r="B1" s="6" t="s">
        <v>1437</v>
      </c>
      <c r="C1" s="6" t="s">
        <v>1438</v>
      </c>
      <c r="D1" s="6" t="s">
        <v>1439</v>
      </c>
      <c r="E1" s="6" t="s">
        <v>1440</v>
      </c>
      <c r="F1" s="6" t="s">
        <v>1441</v>
      </c>
      <c r="G1" s="6" t="s">
        <v>1442</v>
      </c>
      <c r="H1" s="6" t="s">
        <v>1443</v>
      </c>
    </row>
    <row r="2" spans="1:8" ht="23" x14ac:dyDescent="0.35">
      <c r="A2" s="7" t="s">
        <v>1444</v>
      </c>
      <c r="B2" s="7" t="s">
        <v>1445</v>
      </c>
      <c r="C2" s="7" t="s">
        <v>1446</v>
      </c>
      <c r="D2" s="7" t="s">
        <v>1447</v>
      </c>
      <c r="E2" s="7" t="s">
        <v>90</v>
      </c>
      <c r="F2" s="7" t="s">
        <v>91</v>
      </c>
      <c r="G2" s="7" t="s">
        <v>93</v>
      </c>
      <c r="H2" s="7" t="s">
        <v>1448</v>
      </c>
    </row>
    <row r="3" spans="1:8" ht="23" x14ac:dyDescent="0.35">
      <c r="A3" s="7" t="s">
        <v>1449</v>
      </c>
      <c r="B3" s="7" t="s">
        <v>1450</v>
      </c>
      <c r="C3" s="7" t="s">
        <v>179</v>
      </c>
      <c r="D3" s="7" t="s">
        <v>1451</v>
      </c>
      <c r="E3" s="7"/>
      <c r="F3" s="7"/>
      <c r="G3" s="7" t="s">
        <v>1452</v>
      </c>
      <c r="H3" s="7" t="s">
        <v>1453</v>
      </c>
    </row>
    <row r="4" spans="1:8" ht="23" x14ac:dyDescent="0.35">
      <c r="A4" s="7" t="s">
        <v>1454</v>
      </c>
      <c r="B4" s="7" t="s">
        <v>1450</v>
      </c>
      <c r="C4" s="7" t="s">
        <v>211</v>
      </c>
      <c r="D4" s="7" t="s">
        <v>1455</v>
      </c>
      <c r="E4" s="7"/>
      <c r="F4" s="7"/>
      <c r="G4" s="7" t="s">
        <v>1456</v>
      </c>
      <c r="H4" s="7" t="s">
        <v>1453</v>
      </c>
    </row>
    <row r="5" spans="1:8" ht="34.5" x14ac:dyDescent="0.35">
      <c r="A5" s="7" t="s">
        <v>1457</v>
      </c>
      <c r="B5" s="7" t="s">
        <v>1445</v>
      </c>
      <c r="C5" s="7" t="s">
        <v>251</v>
      </c>
      <c r="D5" s="7" t="s">
        <v>1458</v>
      </c>
      <c r="E5" s="7" t="s">
        <v>232</v>
      </c>
      <c r="F5" s="7" t="s">
        <v>233</v>
      </c>
      <c r="G5" s="7" t="s">
        <v>1459</v>
      </c>
      <c r="H5" s="7" t="s">
        <v>1448</v>
      </c>
    </row>
    <row r="6" spans="1:8" ht="23" x14ac:dyDescent="0.35">
      <c r="A6" s="7" t="s">
        <v>1460</v>
      </c>
      <c r="B6" s="7" t="s">
        <v>1445</v>
      </c>
      <c r="C6" s="7" t="s">
        <v>965</v>
      </c>
      <c r="D6" s="7" t="s">
        <v>1461</v>
      </c>
      <c r="E6" s="7" t="s">
        <v>965</v>
      </c>
      <c r="F6" s="7" t="s">
        <v>966</v>
      </c>
      <c r="G6" s="7" t="s">
        <v>967</v>
      </c>
      <c r="H6" s="7" t="s">
        <v>1448</v>
      </c>
    </row>
    <row r="7" spans="1:8" x14ac:dyDescent="0.35">
      <c r="A7" s="7" t="s">
        <v>1462</v>
      </c>
      <c r="B7" s="7" t="s">
        <v>1463</v>
      </c>
      <c r="C7" s="7"/>
      <c r="D7" s="7"/>
      <c r="E7" s="7" t="s">
        <v>56</v>
      </c>
      <c r="F7" s="7" t="s">
        <v>57</v>
      </c>
      <c r="G7" s="7" t="s">
        <v>61</v>
      </c>
      <c r="H7" s="7" t="s">
        <v>1464</v>
      </c>
    </row>
    <row r="8" spans="1:8" ht="23" x14ac:dyDescent="0.35">
      <c r="A8" s="7" t="s">
        <v>1465</v>
      </c>
      <c r="B8" s="7" t="s">
        <v>1463</v>
      </c>
      <c r="C8" s="7"/>
      <c r="D8" s="7"/>
      <c r="E8" s="7" t="s">
        <v>999</v>
      </c>
      <c r="F8" s="7" t="s">
        <v>1000</v>
      </c>
      <c r="G8" s="7"/>
      <c r="H8" s="7" t="s">
        <v>1466</v>
      </c>
    </row>
    <row r="9" spans="1:8" ht="23" x14ac:dyDescent="0.35">
      <c r="A9" s="7" t="s">
        <v>1467</v>
      </c>
      <c r="B9" s="7" t="s">
        <v>1463</v>
      </c>
      <c r="C9" s="7"/>
      <c r="D9" s="7"/>
      <c r="E9" s="7" t="s">
        <v>1004</v>
      </c>
      <c r="F9" s="7" t="s">
        <v>1005</v>
      </c>
      <c r="G9" s="7"/>
      <c r="H9" s="7" t="s">
        <v>1466</v>
      </c>
    </row>
    <row r="10" spans="1:8" ht="23" x14ac:dyDescent="0.35">
      <c r="A10" s="7" t="s">
        <v>1468</v>
      </c>
      <c r="B10" s="7" t="s">
        <v>1463</v>
      </c>
      <c r="C10" s="7"/>
      <c r="D10" s="7"/>
      <c r="E10" s="7" t="s">
        <v>1007</v>
      </c>
      <c r="F10" s="7" t="s">
        <v>1008</v>
      </c>
      <c r="G10" s="7"/>
      <c r="H10" s="7" t="s">
        <v>1466</v>
      </c>
    </row>
    <row r="11" spans="1:8" ht="23" x14ac:dyDescent="0.35">
      <c r="A11" s="7" t="s">
        <v>1469</v>
      </c>
      <c r="B11" s="7" t="s">
        <v>1463</v>
      </c>
      <c r="C11" s="7"/>
      <c r="D11" s="7"/>
      <c r="E11" s="7" t="s">
        <v>74</v>
      </c>
      <c r="F11" s="7" t="s">
        <v>75</v>
      </c>
      <c r="G11" s="7" t="s">
        <v>76</v>
      </c>
      <c r="H11" s="7" t="s">
        <v>1464</v>
      </c>
    </row>
    <row r="12" spans="1:8" ht="23" x14ac:dyDescent="0.35">
      <c r="A12" s="7" t="s">
        <v>1470</v>
      </c>
      <c r="B12" s="7" t="s">
        <v>1463</v>
      </c>
      <c r="C12" s="7"/>
      <c r="D12" s="7"/>
      <c r="E12" s="7" t="s">
        <v>87</v>
      </c>
      <c r="F12" s="7" t="s">
        <v>88</v>
      </c>
      <c r="G12" s="7" t="s">
        <v>76</v>
      </c>
      <c r="H12" s="7" t="s">
        <v>1464</v>
      </c>
    </row>
    <row r="13" spans="1:8" ht="92" x14ac:dyDescent="0.35">
      <c r="A13" s="7" t="s">
        <v>1471</v>
      </c>
      <c r="B13" s="7" t="s">
        <v>1463</v>
      </c>
      <c r="C13" s="7"/>
      <c r="D13" s="7"/>
      <c r="E13" s="7" t="s">
        <v>328</v>
      </c>
      <c r="F13" s="7" t="s">
        <v>329</v>
      </c>
      <c r="G13" s="7" t="s">
        <v>1472</v>
      </c>
      <c r="H13" s="7" t="s">
        <v>1464</v>
      </c>
    </row>
    <row r="14" spans="1:8" ht="46" x14ac:dyDescent="0.35">
      <c r="A14" s="7" t="s">
        <v>1473</v>
      </c>
      <c r="B14" s="7" t="s">
        <v>1463</v>
      </c>
      <c r="C14" s="7"/>
      <c r="D14" s="7"/>
      <c r="E14" s="7" t="s">
        <v>672</v>
      </c>
      <c r="F14" s="7" t="s">
        <v>673</v>
      </c>
      <c r="G14" s="7" t="s">
        <v>1474</v>
      </c>
      <c r="H14" s="7" t="s">
        <v>1464</v>
      </c>
    </row>
    <row r="15" spans="1:8" ht="23" x14ac:dyDescent="0.35">
      <c r="A15" s="7" t="s">
        <v>1475</v>
      </c>
      <c r="B15" s="7" t="s">
        <v>1463</v>
      </c>
      <c r="C15" s="7"/>
      <c r="D15" s="7"/>
      <c r="E15" s="7" t="s">
        <v>1063</v>
      </c>
      <c r="F15" s="7" t="s">
        <v>1064</v>
      </c>
      <c r="G15" s="7"/>
      <c r="H15" s="7" t="s">
        <v>1466</v>
      </c>
    </row>
    <row r="16" spans="1:8" x14ac:dyDescent="0.35">
      <c r="A16" s="7" t="s">
        <v>1476</v>
      </c>
      <c r="B16" s="7" t="s">
        <v>1477</v>
      </c>
      <c r="C16" s="7" t="s">
        <v>90</v>
      </c>
      <c r="D16" s="7" t="s">
        <v>104</v>
      </c>
      <c r="E16" s="7" t="s">
        <v>103</v>
      </c>
      <c r="F16" s="7" t="s">
        <v>104</v>
      </c>
      <c r="G16" s="7" t="s">
        <v>105</v>
      </c>
      <c r="H16" s="7" t="s">
        <v>1478</v>
      </c>
    </row>
    <row r="17" spans="1:8" x14ac:dyDescent="0.35">
      <c r="A17" s="7" t="s">
        <v>1479</v>
      </c>
      <c r="B17" s="7" t="s">
        <v>1477</v>
      </c>
      <c r="C17" s="7" t="s">
        <v>103</v>
      </c>
      <c r="D17" s="7" t="s">
        <v>113</v>
      </c>
      <c r="E17" s="7" t="s">
        <v>112</v>
      </c>
      <c r="F17" s="7" t="s">
        <v>113</v>
      </c>
      <c r="G17" s="7" t="s">
        <v>115</v>
      </c>
      <c r="H17" s="7" t="s">
        <v>1478</v>
      </c>
    </row>
    <row r="18" spans="1:8" x14ac:dyDescent="0.35">
      <c r="A18" s="7" t="s">
        <v>1480</v>
      </c>
      <c r="B18" s="7" t="s">
        <v>1477</v>
      </c>
      <c r="C18" s="7" t="s">
        <v>112</v>
      </c>
      <c r="D18" s="7" t="s">
        <v>125</v>
      </c>
      <c r="E18" s="7" t="s">
        <v>124</v>
      </c>
      <c r="F18" s="7" t="s">
        <v>125</v>
      </c>
      <c r="G18" s="7" t="s">
        <v>126</v>
      </c>
      <c r="H18" s="7" t="s">
        <v>1478</v>
      </c>
    </row>
    <row r="19" spans="1:8" x14ac:dyDescent="0.35">
      <c r="A19" s="7" t="s">
        <v>1481</v>
      </c>
      <c r="B19" s="7" t="s">
        <v>1477</v>
      </c>
      <c r="C19" s="7" t="s">
        <v>124</v>
      </c>
      <c r="D19" s="7" t="s">
        <v>136</v>
      </c>
      <c r="E19" s="7" t="s">
        <v>135</v>
      </c>
      <c r="F19" s="7" t="s">
        <v>136</v>
      </c>
      <c r="G19" s="7" t="s">
        <v>137</v>
      </c>
      <c r="H19" s="7" t="s">
        <v>1478</v>
      </c>
    </row>
    <row r="20" spans="1:8" ht="23" x14ac:dyDescent="0.35">
      <c r="A20" s="7" t="s">
        <v>1482</v>
      </c>
      <c r="B20" s="7" t="s">
        <v>1477</v>
      </c>
      <c r="C20" s="7" t="s">
        <v>135</v>
      </c>
      <c r="D20" s="7" t="s">
        <v>145</v>
      </c>
      <c r="E20" s="7" t="s">
        <v>144</v>
      </c>
      <c r="F20" s="7" t="s">
        <v>145</v>
      </c>
      <c r="G20" s="7" t="s">
        <v>146</v>
      </c>
      <c r="H20" s="7" t="s">
        <v>1478</v>
      </c>
    </row>
    <row r="21" spans="1:8" ht="23" x14ac:dyDescent="0.35">
      <c r="A21" s="7" t="s">
        <v>1483</v>
      </c>
      <c r="B21" s="7" t="s">
        <v>1477</v>
      </c>
      <c r="C21" s="7" t="s">
        <v>144</v>
      </c>
      <c r="D21" s="7" t="s">
        <v>155</v>
      </c>
      <c r="E21" s="7" t="s">
        <v>154</v>
      </c>
      <c r="F21" s="7" t="s">
        <v>155</v>
      </c>
      <c r="G21" s="7" t="s">
        <v>156</v>
      </c>
      <c r="H21" s="7" t="s">
        <v>1478</v>
      </c>
    </row>
    <row r="22" spans="1:8" x14ac:dyDescent="0.35">
      <c r="A22" s="7" t="s">
        <v>1484</v>
      </c>
      <c r="B22" s="7" t="s">
        <v>1477</v>
      </c>
      <c r="C22" s="7" t="s">
        <v>154</v>
      </c>
      <c r="D22" s="7" t="s">
        <v>168</v>
      </c>
      <c r="E22" s="7" t="s">
        <v>167</v>
      </c>
      <c r="F22" s="7" t="s">
        <v>168</v>
      </c>
      <c r="G22" s="7" t="s">
        <v>169</v>
      </c>
      <c r="H22" s="7" t="s">
        <v>1478</v>
      </c>
    </row>
    <row r="23" spans="1:8" ht="23" x14ac:dyDescent="0.35">
      <c r="A23" s="7" t="s">
        <v>1485</v>
      </c>
      <c r="B23" s="7" t="s">
        <v>1477</v>
      </c>
      <c r="C23" s="7" t="s">
        <v>167</v>
      </c>
      <c r="D23" s="7" t="s">
        <v>180</v>
      </c>
      <c r="E23" s="7" t="s">
        <v>179</v>
      </c>
      <c r="F23" s="7" t="s">
        <v>180</v>
      </c>
      <c r="G23" s="7" t="s">
        <v>181</v>
      </c>
      <c r="H23" s="7" t="s">
        <v>1478</v>
      </c>
    </row>
    <row r="24" spans="1:8" x14ac:dyDescent="0.35">
      <c r="A24" s="7" t="s">
        <v>1486</v>
      </c>
      <c r="B24" s="7" t="s">
        <v>1477</v>
      </c>
      <c r="C24" s="7" t="s">
        <v>221</v>
      </c>
      <c r="D24" s="7" t="s">
        <v>212</v>
      </c>
      <c r="E24" s="7" t="s">
        <v>211</v>
      </c>
      <c r="F24" s="7" t="s">
        <v>212</v>
      </c>
      <c r="G24" s="7" t="s">
        <v>213</v>
      </c>
      <c r="H24" s="7" t="s">
        <v>1478</v>
      </c>
    </row>
    <row r="25" spans="1:8" x14ac:dyDescent="0.35">
      <c r="A25" s="7" t="s">
        <v>1487</v>
      </c>
      <c r="B25" s="7" t="s">
        <v>1477</v>
      </c>
      <c r="C25" s="7" t="s">
        <v>232</v>
      </c>
      <c r="D25" s="7" t="s">
        <v>222</v>
      </c>
      <c r="E25" s="7" t="s">
        <v>221</v>
      </c>
      <c r="F25" s="7" t="s">
        <v>222</v>
      </c>
      <c r="G25" s="7" t="s">
        <v>223</v>
      </c>
      <c r="H25" s="7" t="s">
        <v>1478</v>
      </c>
    </row>
    <row r="26" spans="1:8" ht="23" x14ac:dyDescent="0.35">
      <c r="A26" s="7" t="s">
        <v>1488</v>
      </c>
      <c r="B26" s="7" t="s">
        <v>1477</v>
      </c>
      <c r="C26" s="7" t="s">
        <v>264</v>
      </c>
      <c r="D26" s="7" t="s">
        <v>252</v>
      </c>
      <c r="E26" s="7" t="s">
        <v>251</v>
      </c>
      <c r="F26" s="7" t="s">
        <v>252</v>
      </c>
      <c r="G26" s="7" t="s">
        <v>253</v>
      </c>
      <c r="H26" s="7" t="s">
        <v>1478</v>
      </c>
    </row>
    <row r="27" spans="1:8" ht="23" x14ac:dyDescent="0.35">
      <c r="A27" s="7" t="s">
        <v>1489</v>
      </c>
      <c r="B27" s="7" t="s">
        <v>1477</v>
      </c>
      <c r="C27" s="7" t="s">
        <v>279</v>
      </c>
      <c r="D27" s="7" t="s">
        <v>265</v>
      </c>
      <c r="E27" s="7" t="s">
        <v>264</v>
      </c>
      <c r="F27" s="7" t="s">
        <v>265</v>
      </c>
      <c r="G27" s="7" t="s">
        <v>266</v>
      </c>
      <c r="H27" s="7" t="s">
        <v>1478</v>
      </c>
    </row>
    <row r="28" spans="1:8" ht="23" x14ac:dyDescent="0.35">
      <c r="A28" s="7" t="s">
        <v>1490</v>
      </c>
      <c r="B28" s="7" t="s">
        <v>1477</v>
      </c>
      <c r="C28" s="7" t="s">
        <v>291</v>
      </c>
      <c r="D28" s="7" t="s">
        <v>280</v>
      </c>
      <c r="E28" s="7" t="s">
        <v>279</v>
      </c>
      <c r="F28" s="7" t="s">
        <v>280</v>
      </c>
      <c r="G28" s="7" t="s">
        <v>281</v>
      </c>
      <c r="H28" s="7" t="s">
        <v>1478</v>
      </c>
    </row>
    <row r="29" spans="1:8" ht="23" x14ac:dyDescent="0.35">
      <c r="A29" s="7" t="s">
        <v>1491</v>
      </c>
      <c r="B29" s="7" t="s">
        <v>1477</v>
      </c>
      <c r="C29" s="7" t="s">
        <v>305</v>
      </c>
      <c r="D29" s="7" t="s">
        <v>292</v>
      </c>
      <c r="E29" s="7" t="s">
        <v>291</v>
      </c>
      <c r="F29" s="7" t="s">
        <v>292</v>
      </c>
      <c r="G29" s="7" t="s">
        <v>293</v>
      </c>
      <c r="H29" s="7" t="s">
        <v>1478</v>
      </c>
    </row>
    <row r="30" spans="1:8" ht="34.5" x14ac:dyDescent="0.35">
      <c r="A30" s="7" t="s">
        <v>1492</v>
      </c>
      <c r="B30" s="7" t="s">
        <v>1477</v>
      </c>
      <c r="C30" s="7" t="s">
        <v>317</v>
      </c>
      <c r="D30" s="7" t="s">
        <v>306</v>
      </c>
      <c r="E30" s="7" t="s">
        <v>305</v>
      </c>
      <c r="F30" s="7" t="s">
        <v>306</v>
      </c>
      <c r="G30" s="7" t="s">
        <v>307</v>
      </c>
      <c r="H30" s="7" t="s">
        <v>1478</v>
      </c>
    </row>
    <row r="31" spans="1:8" x14ac:dyDescent="0.35">
      <c r="A31" s="7" t="s">
        <v>1493</v>
      </c>
      <c r="B31" s="7" t="s">
        <v>1477</v>
      </c>
      <c r="C31" s="7" t="s">
        <v>328</v>
      </c>
      <c r="D31" s="7" t="s">
        <v>318</v>
      </c>
      <c r="E31" s="7" t="s">
        <v>317</v>
      </c>
      <c r="F31" s="7" t="s">
        <v>318</v>
      </c>
      <c r="G31" s="7" t="s">
        <v>319</v>
      </c>
      <c r="H31" s="7" t="s">
        <v>1478</v>
      </c>
    </row>
    <row r="32" spans="1:8" ht="23" x14ac:dyDescent="0.35">
      <c r="A32" s="7" t="s">
        <v>1494</v>
      </c>
      <c r="B32" s="7" t="s">
        <v>1495</v>
      </c>
      <c r="C32" s="7" t="s">
        <v>864</v>
      </c>
      <c r="D32" s="7" t="s">
        <v>865</v>
      </c>
      <c r="E32" s="7" t="s">
        <v>864</v>
      </c>
      <c r="F32" s="7" t="s">
        <v>865</v>
      </c>
      <c r="G32" s="7" t="s">
        <v>1496</v>
      </c>
      <c r="H32" s="7" t="s">
        <v>1497</v>
      </c>
    </row>
  </sheetData>
  <autoFilter ref="A1:H3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0"/>
  <sheetViews>
    <sheetView workbookViewId="0">
      <pane xSplit="1" ySplit="4" topLeftCell="B5" activePane="bottomRight" state="frozen"/>
      <selection pane="topRight"/>
      <selection pane="bottomLeft"/>
      <selection pane="bottomRight"/>
    </sheetView>
  </sheetViews>
  <sheetFormatPr defaultRowHeight="14.5" x14ac:dyDescent="0.35"/>
  <cols>
    <col min="1" max="1" width="9" customWidth="1"/>
    <col min="2" max="2" width="34" customWidth="1"/>
    <col min="3" max="3" width="11" customWidth="1"/>
    <col min="4" max="4" width="14" customWidth="1"/>
    <col min="5" max="5" width="10" customWidth="1"/>
    <col min="6" max="7" width="14" customWidth="1"/>
    <col min="8" max="9" width="16" customWidth="1"/>
    <col min="10" max="10" width="12" customWidth="1"/>
    <col min="11" max="11" width="14" customWidth="1"/>
    <col min="13" max="13" width="44" customWidth="1"/>
    <col min="14" max="14" width="14" customWidth="1"/>
  </cols>
  <sheetData>
    <row r="1" spans="1:14" ht="15.5" x14ac:dyDescent="0.35">
      <c r="A1" s="10" t="s">
        <v>1498</v>
      </c>
    </row>
    <row r="2" spans="1:14" ht="30" customHeight="1" x14ac:dyDescent="0.35">
      <c r="A2" s="15" t="s">
        <v>1499</v>
      </c>
      <c r="B2" s="16"/>
      <c r="C2" s="16"/>
      <c r="D2" s="16"/>
      <c r="E2" s="16"/>
      <c r="F2" s="16"/>
      <c r="G2" s="16"/>
      <c r="H2" s="16"/>
      <c r="I2" s="16"/>
      <c r="J2" s="16"/>
      <c r="K2" s="16"/>
    </row>
    <row r="4" spans="1:14" ht="39" x14ac:dyDescent="0.35">
      <c r="A4" s="6" t="s">
        <v>35</v>
      </c>
      <c r="B4" s="6" t="s">
        <v>41</v>
      </c>
      <c r="C4" s="6" t="s">
        <v>46</v>
      </c>
      <c r="D4" s="6" t="s">
        <v>1500</v>
      </c>
      <c r="E4" s="6" t="s">
        <v>1501</v>
      </c>
      <c r="F4" s="6" t="s">
        <v>1502</v>
      </c>
      <c r="G4" s="6" t="s">
        <v>1503</v>
      </c>
      <c r="H4" s="6" t="s">
        <v>1504</v>
      </c>
      <c r="I4" s="6" t="s">
        <v>1505</v>
      </c>
      <c r="J4" s="6" t="s">
        <v>1506</v>
      </c>
      <c r="K4" s="6" t="s">
        <v>1507</v>
      </c>
      <c r="M4" s="4" t="s">
        <v>1508</v>
      </c>
    </row>
    <row r="5" spans="1:14" x14ac:dyDescent="0.35">
      <c r="A5" s="11" t="str">
        <f>Positive_Set!A2</f>
        <v>P-001</v>
      </c>
      <c r="B5" s="11" t="str">
        <f>INDEX(Positive_Set!$G$2:$G$87,MATCH(A5,Positive_Set!$A$2:$A$87,0))</f>
        <v>iam_root_credentials_management_enabled</v>
      </c>
      <c r="C5" s="11" t="str">
        <f>INDEX(Positive_Set!$L$2:$L$87,MATCH(A5,Positive_Set!$A$2:$A$87,0))</f>
        <v>high</v>
      </c>
      <c r="D5" s="12"/>
      <c r="E5" s="11" t="str">
        <f t="shared" ref="E5:E36" si="0">IF(D5="","",IF(LOWER(D5)=C5,1,0))</f>
        <v/>
      </c>
      <c r="F5" s="12"/>
      <c r="G5" s="12"/>
      <c r="H5" s="12"/>
      <c r="I5" s="12"/>
      <c r="J5" s="11" t="str">
        <f t="shared" ref="J5:J36" si="1">IF(COUNT(F5:I5)&lt;4,"",IF(AND(E5=1,F5=1,G5=1,H5=1,I5=1),1,0))</f>
        <v/>
      </c>
      <c r="K5" s="12"/>
      <c r="M5" s="3" t="s">
        <v>1509</v>
      </c>
      <c r="N5" s="13">
        <f>COUNTA(A5:A90)</f>
        <v>86</v>
      </c>
    </row>
    <row r="6" spans="1:14" x14ac:dyDescent="0.35">
      <c r="A6" s="11" t="str">
        <f>Positive_Set!A3</f>
        <v>P-002</v>
      </c>
      <c r="B6" s="11" t="str">
        <f>INDEX(Positive_Set!$G$2:$G$87,MATCH(A6,Positive_Set!$A$2:$A$87,0))</f>
        <v>organizations_delegated_administrators</v>
      </c>
      <c r="C6" s="11" t="str">
        <f>INDEX(Positive_Set!$L$2:$L$87,MATCH(A6,Positive_Set!$A$2:$A$87,0))</f>
        <v>critical</v>
      </c>
      <c r="D6" s="12"/>
      <c r="E6" s="11" t="str">
        <f t="shared" si="0"/>
        <v/>
      </c>
      <c r="F6" s="12"/>
      <c r="G6" s="12"/>
      <c r="H6" s="12"/>
      <c r="I6" s="12"/>
      <c r="J6" s="11" t="str">
        <f t="shared" si="1"/>
        <v/>
      </c>
      <c r="K6" s="12"/>
      <c r="M6" s="3" t="s">
        <v>1510</v>
      </c>
      <c r="N6" s="13">
        <f>COUNT(J5:J90)</f>
        <v>0</v>
      </c>
    </row>
    <row r="7" spans="1:14" x14ac:dyDescent="0.35">
      <c r="A7" s="11" t="str">
        <f>Positive_Set!A4</f>
        <v>P-003</v>
      </c>
      <c r="B7" s="11" t="str">
        <f>INDEX(Positive_Set!$G$2:$G$87,MATCH(A7,Positive_Set!$A$2:$A$87,0))</f>
        <v>organizations_delegated_administrators</v>
      </c>
      <c r="C7" s="11" t="str">
        <f>INDEX(Positive_Set!$L$2:$L$87,MATCH(A7,Positive_Set!$A$2:$A$87,0))</f>
        <v>critical</v>
      </c>
      <c r="D7" s="12"/>
      <c r="E7" s="11" t="str">
        <f t="shared" si="0"/>
        <v/>
      </c>
      <c r="F7" s="12"/>
      <c r="G7" s="12"/>
      <c r="H7" s="12"/>
      <c r="I7" s="12"/>
      <c r="J7" s="11" t="str">
        <f t="shared" si="1"/>
        <v/>
      </c>
      <c r="K7" s="12"/>
      <c r="M7" s="3" t="s">
        <v>1511</v>
      </c>
      <c r="N7" s="14" t="str">
        <f>IFERROR(SUM(J5:J90)/COUNT(J5:J90),"")</f>
        <v/>
      </c>
    </row>
    <row r="8" spans="1:14" x14ac:dyDescent="0.35">
      <c r="A8" s="11" t="str">
        <f>Positive_Set!A5</f>
        <v>P-004</v>
      </c>
      <c r="B8" s="11" t="str">
        <f>INDEX(Positive_Set!$G$2:$G$87,MATCH(A8,Positive_Set!$A$2:$A$87,0))</f>
        <v>account_maintain_current_contact_details</v>
      </c>
      <c r="C8" s="11" t="str">
        <f>INDEX(Positive_Set!$L$2:$L$87,MATCH(A8,Positive_Set!$A$2:$A$87,0))</f>
        <v>medium</v>
      </c>
      <c r="D8" s="12"/>
      <c r="E8" s="11" t="str">
        <f t="shared" si="0"/>
        <v/>
      </c>
      <c r="F8" s="12"/>
      <c r="G8" s="12"/>
      <c r="H8" s="12"/>
      <c r="I8" s="12"/>
      <c r="J8" s="11" t="str">
        <f t="shared" si="1"/>
        <v/>
      </c>
      <c r="K8" s="12"/>
      <c r="M8" s="3" t="s">
        <v>1512</v>
      </c>
      <c r="N8" s="14" t="str">
        <f>IFERROR(SUM(E5:E90)/COUNT(E5:E90),"")</f>
        <v/>
      </c>
    </row>
    <row r="9" spans="1:14" x14ac:dyDescent="0.35">
      <c r="A9" s="11" t="str">
        <f>Positive_Set!A6</f>
        <v>P-005</v>
      </c>
      <c r="B9" s="11" t="str">
        <f>INDEX(Positive_Set!$G$2:$G$87,MATCH(A9,Positive_Set!$A$2:$A$87,0))</f>
        <v>account_security_contact_information_is_registered</v>
      </c>
      <c r="C9" s="11" t="str">
        <f>INDEX(Positive_Set!$L$2:$L$87,MATCH(A9,Positive_Set!$A$2:$A$87,0))</f>
        <v>medium</v>
      </c>
      <c r="D9" s="12"/>
      <c r="E9" s="11" t="str">
        <f t="shared" si="0"/>
        <v/>
      </c>
      <c r="F9" s="12"/>
      <c r="G9" s="12"/>
      <c r="H9" s="12"/>
      <c r="I9" s="12"/>
      <c r="J9" s="11" t="str">
        <f t="shared" si="1"/>
        <v/>
      </c>
      <c r="K9" s="12"/>
      <c r="M9" s="3" t="s">
        <v>1513</v>
      </c>
      <c r="N9" s="14" t="str">
        <f>IFERROR(SUM(F5:F90)/COUNT(F5:F90),"")</f>
        <v/>
      </c>
    </row>
    <row r="10" spans="1:14" x14ac:dyDescent="0.35">
      <c r="A10" s="11" t="str">
        <f>Positive_Set!A7</f>
        <v>P-006</v>
      </c>
      <c r="B10" s="11" t="str">
        <f>INDEX(Positive_Set!$G$2:$G$87,MATCH(A10,Positive_Set!$A$2:$A$87,0))</f>
        <v>iam_no_root_access_key</v>
      </c>
      <c r="C10" s="11" t="str">
        <f>INDEX(Positive_Set!$L$2:$L$87,MATCH(A10,Positive_Set!$A$2:$A$87,0))</f>
        <v>critical</v>
      </c>
      <c r="D10" s="12"/>
      <c r="E10" s="11" t="str">
        <f t="shared" si="0"/>
        <v/>
      </c>
      <c r="F10" s="12"/>
      <c r="G10" s="12"/>
      <c r="H10" s="12"/>
      <c r="I10" s="12"/>
      <c r="J10" s="11" t="str">
        <f t="shared" si="1"/>
        <v/>
      </c>
      <c r="K10" s="12"/>
      <c r="M10" s="3" t="s">
        <v>1514</v>
      </c>
      <c r="N10" s="13" t="str">
        <f>IFERROR(AVERAGE(K5:K90),"")</f>
        <v/>
      </c>
    </row>
    <row r="11" spans="1:14" x14ac:dyDescent="0.35">
      <c r="A11" s="11" t="str">
        <f>Positive_Set!A8</f>
        <v>P-007</v>
      </c>
      <c r="B11" s="11" t="str">
        <f>INDEX(Positive_Set!$G$2:$G$87,MATCH(A11,Positive_Set!$A$2:$A$87,0))</f>
        <v>iam_root_mfa_enabled</v>
      </c>
      <c r="C11" s="11" t="str">
        <f>INDEX(Positive_Set!$L$2:$L$87,MATCH(A11,Positive_Set!$A$2:$A$87,0))</f>
        <v>critical</v>
      </c>
      <c r="D11" s="12"/>
      <c r="E11" s="11" t="str">
        <f t="shared" si="0"/>
        <v/>
      </c>
      <c r="F11" s="12"/>
      <c r="G11" s="12"/>
      <c r="H11" s="12"/>
      <c r="I11" s="12"/>
      <c r="J11" s="11" t="str">
        <f t="shared" si="1"/>
        <v/>
      </c>
      <c r="K11" s="12"/>
      <c r="M11" s="4"/>
    </row>
    <row r="12" spans="1:14" x14ac:dyDescent="0.35">
      <c r="A12" s="11" t="str">
        <f>Positive_Set!A9</f>
        <v>P-008</v>
      </c>
      <c r="B12" s="11" t="str">
        <f>INDEX(Positive_Set!$G$2:$G$87,MATCH(A12,Positive_Set!$A$2:$A$87,0))</f>
        <v>iam_root_hardware_mfa_enabled</v>
      </c>
      <c r="C12" s="11" t="str">
        <f>INDEX(Positive_Set!$L$2:$L$87,MATCH(A12,Positive_Set!$A$2:$A$87,0))</f>
        <v>critical</v>
      </c>
      <c r="D12" s="12"/>
      <c r="E12" s="11" t="str">
        <f t="shared" si="0"/>
        <v/>
      </c>
      <c r="F12" s="12"/>
      <c r="G12" s="12"/>
      <c r="H12" s="12"/>
      <c r="I12" s="12"/>
      <c r="J12" s="11" t="str">
        <f t="shared" si="1"/>
        <v/>
      </c>
      <c r="K12" s="12"/>
      <c r="M12" s="4" t="s">
        <v>1515</v>
      </c>
    </row>
    <row r="13" spans="1:14" x14ac:dyDescent="0.35">
      <c r="A13" s="11" t="str">
        <f>Positive_Set!A10</f>
        <v>P-009</v>
      </c>
      <c r="B13" s="11" t="str">
        <f>INDEX(Positive_Set!$G$2:$G$87,MATCH(A13,Positive_Set!$A$2:$A$87,0))</f>
        <v>iam_avoid_root_usage</v>
      </c>
      <c r="C13" s="11" t="str">
        <f>INDEX(Positive_Set!$L$2:$L$87,MATCH(A13,Positive_Set!$A$2:$A$87,0))</f>
        <v>high</v>
      </c>
      <c r="D13" s="12"/>
      <c r="E13" s="11" t="str">
        <f t="shared" si="0"/>
        <v/>
      </c>
      <c r="F13" s="12"/>
      <c r="G13" s="12"/>
      <c r="H13" s="12"/>
      <c r="I13" s="12"/>
      <c r="J13" s="11" t="str">
        <f t="shared" si="1"/>
        <v/>
      </c>
      <c r="K13" s="12"/>
      <c r="M13" s="3" t="s">
        <v>1516</v>
      </c>
      <c r="N13" s="13">
        <f>COUNTIFS(Triage_Set!F2:F101,"Y",Triage_Set!I2:I101,"Y")</f>
        <v>0</v>
      </c>
    </row>
    <row r="14" spans="1:14" x14ac:dyDescent="0.35">
      <c r="A14" s="11" t="str">
        <f>Positive_Set!A11</f>
        <v>P-010</v>
      </c>
      <c r="B14" s="11" t="str">
        <f>INDEX(Positive_Set!$G$2:$G$87,MATCH(A14,Positive_Set!$A$2:$A$87,0))</f>
        <v>iam_password_policy_minimum_length_14</v>
      </c>
      <c r="C14" s="11" t="str">
        <f>INDEX(Positive_Set!$L$2:$L$87,MATCH(A14,Positive_Set!$A$2:$A$87,0))</f>
        <v>medium</v>
      </c>
      <c r="D14" s="12"/>
      <c r="E14" s="11" t="str">
        <f t="shared" si="0"/>
        <v/>
      </c>
      <c r="F14" s="12"/>
      <c r="G14" s="12"/>
      <c r="H14" s="12"/>
      <c r="I14" s="12"/>
      <c r="J14" s="11" t="str">
        <f t="shared" si="1"/>
        <v/>
      </c>
      <c r="K14" s="12"/>
      <c r="M14" s="3" t="s">
        <v>1517</v>
      </c>
      <c r="N14" s="13">
        <f>COUNTIFS(Triage_Set!F2:F101,"N",Triage_Set!I2:I101,"Y")</f>
        <v>0</v>
      </c>
    </row>
    <row r="15" spans="1:14" x14ac:dyDescent="0.35">
      <c r="A15" s="11" t="str">
        <f>Positive_Set!A12</f>
        <v>P-011</v>
      </c>
      <c r="B15" s="11" t="str">
        <f>INDEX(Positive_Set!$G$2:$G$87,MATCH(A15,Positive_Set!$A$2:$A$87,0))</f>
        <v>iam_password_policy_reuse_24</v>
      </c>
      <c r="C15" s="11" t="str">
        <f>INDEX(Positive_Set!$L$2:$L$87,MATCH(A15,Positive_Set!$A$2:$A$87,0))</f>
        <v>medium</v>
      </c>
      <c r="D15" s="12"/>
      <c r="E15" s="11" t="str">
        <f t="shared" si="0"/>
        <v/>
      </c>
      <c r="F15" s="12"/>
      <c r="G15" s="12"/>
      <c r="H15" s="12"/>
      <c r="I15" s="12"/>
      <c r="J15" s="11" t="str">
        <f t="shared" si="1"/>
        <v/>
      </c>
      <c r="K15" s="12"/>
      <c r="M15" s="3" t="s">
        <v>1518</v>
      </c>
      <c r="N15" s="13">
        <f>COUNTIFS(Triage_Set!F2:F101,"Y",Triage_Set!I2:I101,"N")</f>
        <v>0</v>
      </c>
    </row>
    <row r="16" spans="1:14" x14ac:dyDescent="0.35">
      <c r="A16" s="11" t="str">
        <f>Positive_Set!A13</f>
        <v>P-012</v>
      </c>
      <c r="B16" s="11" t="str">
        <f>INDEX(Positive_Set!$G$2:$G$87,MATCH(A16,Positive_Set!$A$2:$A$87,0))</f>
        <v>iam_user_mfa_enabled_console_access</v>
      </c>
      <c r="C16" s="11" t="str">
        <f>INDEX(Positive_Set!$L$2:$L$87,MATCH(A16,Positive_Set!$A$2:$A$87,0))</f>
        <v>high</v>
      </c>
      <c r="D16" s="12"/>
      <c r="E16" s="11" t="str">
        <f t="shared" si="0"/>
        <v/>
      </c>
      <c r="F16" s="12"/>
      <c r="G16" s="12"/>
      <c r="H16" s="12"/>
      <c r="I16" s="12"/>
      <c r="J16" s="11" t="str">
        <f t="shared" si="1"/>
        <v/>
      </c>
      <c r="K16" s="12"/>
      <c r="M16" s="3" t="s">
        <v>1519</v>
      </c>
      <c r="N16" s="14" t="str">
        <f>IFERROR(N13/(N13+N14),"")</f>
        <v/>
      </c>
    </row>
    <row r="17" spans="1:14" x14ac:dyDescent="0.35">
      <c r="A17" s="11" t="str">
        <f>Positive_Set!A14</f>
        <v>P-013</v>
      </c>
      <c r="B17" s="11" t="str">
        <f>INDEX(Positive_Set!$G$2:$G$87,MATCH(A17,Positive_Set!$A$2:$A$87,0))</f>
        <v>iam_user_accesskey_unused</v>
      </c>
      <c r="C17" s="11" t="str">
        <f>INDEX(Positive_Set!$L$2:$L$87,MATCH(A17,Positive_Set!$A$2:$A$87,0))</f>
        <v>medium</v>
      </c>
      <c r="D17" s="12"/>
      <c r="E17" s="11" t="str">
        <f t="shared" si="0"/>
        <v/>
      </c>
      <c r="F17" s="12"/>
      <c r="G17" s="12"/>
      <c r="H17" s="12"/>
      <c r="I17" s="12"/>
      <c r="J17" s="11" t="str">
        <f t="shared" si="1"/>
        <v/>
      </c>
      <c r="K17" s="12"/>
      <c r="M17" s="3" t="s">
        <v>1520</v>
      </c>
      <c r="N17" s="14" t="str">
        <f>IFERROR(N13/(N13+N15),"")</f>
        <v/>
      </c>
    </row>
    <row r="18" spans="1:14" x14ac:dyDescent="0.35">
      <c r="A18" s="11" t="str">
        <f>Positive_Set!A15</f>
        <v>P-014</v>
      </c>
      <c r="B18" s="11" t="str">
        <f>INDEX(Positive_Set!$G$2:$G$87,MATCH(A18,Positive_Set!$A$2:$A$87,0))</f>
        <v>iam_user_console_access_unused</v>
      </c>
      <c r="C18" s="11" t="str">
        <f>INDEX(Positive_Set!$L$2:$L$87,MATCH(A18,Positive_Set!$A$2:$A$87,0))</f>
        <v>medium</v>
      </c>
      <c r="D18" s="12"/>
      <c r="E18" s="11" t="str">
        <f t="shared" si="0"/>
        <v/>
      </c>
      <c r="F18" s="12"/>
      <c r="G18" s="12"/>
      <c r="H18" s="12"/>
      <c r="I18" s="12"/>
      <c r="J18" s="11" t="str">
        <f t="shared" si="1"/>
        <v/>
      </c>
      <c r="K18" s="12"/>
    </row>
    <row r="19" spans="1:14" x14ac:dyDescent="0.35">
      <c r="A19" s="11" t="str">
        <f>Positive_Set!A16</f>
        <v>P-015</v>
      </c>
      <c r="B19" s="11" t="str">
        <f>INDEX(Positive_Set!$G$2:$G$87,MATCH(A19,Positive_Set!$A$2:$A$87,0))</f>
        <v>iam_rotate_access_key_90_days</v>
      </c>
      <c r="C19" s="11" t="str">
        <f>INDEX(Positive_Set!$L$2:$L$87,MATCH(A19,Positive_Set!$A$2:$A$87,0))</f>
        <v>medium</v>
      </c>
      <c r="D19" s="12"/>
      <c r="E19" s="11" t="str">
        <f t="shared" si="0"/>
        <v/>
      </c>
      <c r="F19" s="12"/>
      <c r="G19" s="12"/>
      <c r="H19" s="12"/>
      <c r="I19" s="12"/>
      <c r="J19" s="11" t="str">
        <f t="shared" si="1"/>
        <v/>
      </c>
      <c r="K19" s="12"/>
    </row>
    <row r="20" spans="1:14" x14ac:dyDescent="0.35">
      <c r="A20" s="11" t="str">
        <f>Positive_Set!A17</f>
        <v>P-016</v>
      </c>
      <c r="B20" s="11" t="str">
        <f>INDEX(Positive_Set!$G$2:$G$87,MATCH(A20,Positive_Set!$A$2:$A$87,0))</f>
        <v>iam_policy_attached_only_to_group_or_roles</v>
      </c>
      <c r="C20" s="11" t="str">
        <f>INDEX(Positive_Set!$L$2:$L$87,MATCH(A20,Positive_Set!$A$2:$A$87,0))</f>
        <v>low</v>
      </c>
      <c r="D20" s="12"/>
      <c r="E20" s="11" t="str">
        <f t="shared" si="0"/>
        <v/>
      </c>
      <c r="F20" s="12"/>
      <c r="G20" s="12"/>
      <c r="H20" s="12"/>
      <c r="I20" s="12"/>
      <c r="J20" s="11" t="str">
        <f t="shared" si="1"/>
        <v/>
      </c>
      <c r="K20" s="12"/>
    </row>
    <row r="21" spans="1:14" x14ac:dyDescent="0.35">
      <c r="A21" s="11" t="str">
        <f>Positive_Set!A18</f>
        <v>P-017</v>
      </c>
      <c r="B21" s="11" t="str">
        <f>INDEX(Positive_Set!$G$2:$G$87,MATCH(A21,Positive_Set!$A$2:$A$87,0))</f>
        <v>iam_aws_attached_policy_no_administrative_privileges</v>
      </c>
      <c r="C21" s="11" t="str">
        <f>INDEX(Positive_Set!$L$2:$L$87,MATCH(A21,Positive_Set!$A$2:$A$87,0))</f>
        <v>critical</v>
      </c>
      <c r="D21" s="12"/>
      <c r="E21" s="11" t="str">
        <f t="shared" si="0"/>
        <v/>
      </c>
      <c r="F21" s="12"/>
      <c r="G21" s="12"/>
      <c r="H21" s="12"/>
      <c r="I21" s="12"/>
      <c r="J21" s="11" t="str">
        <f t="shared" si="1"/>
        <v/>
      </c>
      <c r="K21" s="12"/>
    </row>
    <row r="22" spans="1:14" x14ac:dyDescent="0.35">
      <c r="A22" s="11" t="str">
        <f>Positive_Set!A19</f>
        <v>P-018</v>
      </c>
      <c r="B22" s="11" t="str">
        <f>INDEX(Positive_Set!$G$2:$G$87,MATCH(A22,Positive_Set!$A$2:$A$87,0))</f>
        <v>iam_customer_attached_policy_no_administrative_privileges</v>
      </c>
      <c r="C22" s="11" t="str">
        <f>INDEX(Positive_Set!$L$2:$L$87,MATCH(A22,Positive_Set!$A$2:$A$87,0))</f>
        <v>high</v>
      </c>
      <c r="D22" s="12"/>
      <c r="E22" s="11" t="str">
        <f t="shared" si="0"/>
        <v/>
      </c>
      <c r="F22" s="12"/>
      <c r="G22" s="12"/>
      <c r="H22" s="12"/>
      <c r="I22" s="12"/>
      <c r="J22" s="11" t="str">
        <f t="shared" si="1"/>
        <v/>
      </c>
      <c r="K22" s="12"/>
    </row>
    <row r="23" spans="1:14" x14ac:dyDescent="0.35">
      <c r="A23" s="11" t="str">
        <f>Positive_Set!A20</f>
        <v>P-019</v>
      </c>
      <c r="B23" s="11" t="str">
        <f>INDEX(Positive_Set!$G$2:$G$87,MATCH(A23,Positive_Set!$A$2:$A$87,0))</f>
        <v>iam_support_role_created</v>
      </c>
      <c r="C23" s="11" t="str">
        <f>INDEX(Positive_Set!$L$2:$L$87,MATCH(A23,Positive_Set!$A$2:$A$87,0))</f>
        <v>low</v>
      </c>
      <c r="D23" s="12"/>
      <c r="E23" s="11" t="str">
        <f t="shared" si="0"/>
        <v/>
      </c>
      <c r="F23" s="12"/>
      <c r="G23" s="12"/>
      <c r="H23" s="12"/>
      <c r="I23" s="12"/>
      <c r="J23" s="11" t="str">
        <f t="shared" si="1"/>
        <v/>
      </c>
      <c r="K23" s="12"/>
    </row>
    <row r="24" spans="1:14" x14ac:dyDescent="0.35">
      <c r="A24" s="11" t="str">
        <f>Positive_Set!A21</f>
        <v>P-020</v>
      </c>
      <c r="B24" s="11" t="str">
        <f>INDEX(Positive_Set!$G$2:$G$87,MATCH(A24,Positive_Set!$A$2:$A$87,0))</f>
        <v>ec2_instance_profile_attached</v>
      </c>
      <c r="C24" s="11" t="str">
        <f>INDEX(Positive_Set!$L$2:$L$87,MATCH(A24,Positive_Set!$A$2:$A$87,0))</f>
        <v>medium</v>
      </c>
      <c r="D24" s="12"/>
      <c r="E24" s="11" t="str">
        <f t="shared" si="0"/>
        <v/>
      </c>
      <c r="F24" s="12"/>
      <c r="G24" s="12"/>
      <c r="H24" s="12"/>
      <c r="I24" s="12"/>
      <c r="J24" s="11" t="str">
        <f t="shared" si="1"/>
        <v/>
      </c>
      <c r="K24" s="12"/>
    </row>
    <row r="25" spans="1:14" x14ac:dyDescent="0.35">
      <c r="A25" s="11" t="str">
        <f>Positive_Set!A22</f>
        <v>P-021</v>
      </c>
      <c r="B25" s="11" t="str">
        <f>INDEX(Positive_Set!$G$2:$G$87,MATCH(A25,Positive_Set!$A$2:$A$87,0))</f>
        <v>iam_no_expired_server_certificates_stored</v>
      </c>
      <c r="C25" s="11" t="str">
        <f>INDEX(Positive_Set!$L$2:$L$87,MATCH(A25,Positive_Set!$A$2:$A$87,0))</f>
        <v>high</v>
      </c>
      <c r="D25" s="12"/>
      <c r="E25" s="11" t="str">
        <f t="shared" si="0"/>
        <v/>
      </c>
      <c r="F25" s="12"/>
      <c r="G25" s="12"/>
      <c r="H25" s="12"/>
      <c r="I25" s="12"/>
      <c r="J25" s="11" t="str">
        <f t="shared" si="1"/>
        <v/>
      </c>
      <c r="K25" s="12"/>
    </row>
    <row r="26" spans="1:14" x14ac:dyDescent="0.35">
      <c r="A26" s="11" t="str">
        <f>Positive_Set!A23</f>
        <v>P-022</v>
      </c>
      <c r="B26" s="11" t="str">
        <f>INDEX(Positive_Set!$G$2:$G$87,MATCH(A26,Positive_Set!$A$2:$A$87,0))</f>
        <v>accessanalyzer_enabled</v>
      </c>
      <c r="C26" s="11" t="str">
        <f>INDEX(Positive_Set!$L$2:$L$87,MATCH(A26,Positive_Set!$A$2:$A$87,0))</f>
        <v>low</v>
      </c>
      <c r="D26" s="12"/>
      <c r="E26" s="11" t="str">
        <f t="shared" si="0"/>
        <v/>
      </c>
      <c r="F26" s="12"/>
      <c r="G26" s="12"/>
      <c r="H26" s="12"/>
      <c r="I26" s="12"/>
      <c r="J26" s="11" t="str">
        <f t="shared" si="1"/>
        <v/>
      </c>
      <c r="K26" s="12"/>
    </row>
    <row r="27" spans="1:14" x14ac:dyDescent="0.35">
      <c r="A27" s="11" t="str">
        <f>Positive_Set!A24</f>
        <v>P-023</v>
      </c>
      <c r="B27" s="11" t="str">
        <f>INDEX(Positive_Set!$G$2:$G$87,MATCH(A27,Positive_Set!$A$2:$A$87,0))</f>
        <v>iam_check_saml_providers_sts</v>
      </c>
      <c r="C27" s="11" t="str">
        <f>INDEX(Positive_Set!$L$2:$L$87,MATCH(A27,Positive_Set!$A$2:$A$87,0))</f>
        <v>low</v>
      </c>
      <c r="D27" s="12"/>
      <c r="E27" s="11" t="str">
        <f t="shared" si="0"/>
        <v/>
      </c>
      <c r="F27" s="12"/>
      <c r="G27" s="12"/>
      <c r="H27" s="12"/>
      <c r="I27" s="12"/>
      <c r="J27" s="11" t="str">
        <f t="shared" si="1"/>
        <v/>
      </c>
      <c r="K27" s="12"/>
    </row>
    <row r="28" spans="1:14" x14ac:dyDescent="0.35">
      <c r="A28" s="11" t="str">
        <f>Positive_Set!A25</f>
        <v>P-024</v>
      </c>
      <c r="B28" s="11" t="str">
        <f>INDEX(Positive_Set!$G$2:$G$87,MATCH(A28,Positive_Set!$A$2:$A$87,0))</f>
        <v>iam_policy_cloudshell_admin_not_attached</v>
      </c>
      <c r="C28" s="11" t="str">
        <f>INDEX(Positive_Set!$L$2:$L$87,MATCH(A28,Positive_Set!$A$2:$A$87,0))</f>
        <v>medium</v>
      </c>
      <c r="D28" s="12"/>
      <c r="E28" s="11" t="str">
        <f t="shared" si="0"/>
        <v/>
      </c>
      <c r="F28" s="12"/>
      <c r="G28" s="12"/>
      <c r="H28" s="12"/>
      <c r="I28" s="12"/>
      <c r="J28" s="11" t="str">
        <f t="shared" si="1"/>
        <v/>
      </c>
      <c r="K28" s="12"/>
    </row>
    <row r="29" spans="1:14" x14ac:dyDescent="0.35">
      <c r="A29" s="11" t="str">
        <f>Positive_Set!A26</f>
        <v>P-025</v>
      </c>
      <c r="B29" s="11" t="str">
        <f>INDEX(Positive_Set!$G$2:$G$87,MATCH(A29,Positive_Set!$A$2:$A$87,0))</f>
        <v>s3_bucket_policy_public_write_access</v>
      </c>
      <c r="C29" s="11" t="str">
        <f>INDEX(Positive_Set!$L$2:$L$87,MATCH(A29,Positive_Set!$A$2:$A$87,0))</f>
        <v>critical</v>
      </c>
      <c r="D29" s="12"/>
      <c r="E29" s="11" t="str">
        <f t="shared" si="0"/>
        <v/>
      </c>
      <c r="F29" s="12"/>
      <c r="G29" s="12"/>
      <c r="H29" s="12"/>
      <c r="I29" s="12"/>
      <c r="J29" s="11" t="str">
        <f t="shared" si="1"/>
        <v/>
      </c>
      <c r="K29" s="12"/>
    </row>
    <row r="30" spans="1:14" x14ac:dyDescent="0.35">
      <c r="A30" s="11" t="str">
        <f>Positive_Set!A27</f>
        <v>P-026</v>
      </c>
      <c r="B30" s="11" t="str">
        <f>INDEX(Positive_Set!$G$2:$G$87,MATCH(A30,Positive_Set!$A$2:$A$87,0))</f>
        <v>sqs_queues_not_publicly_accessible</v>
      </c>
      <c r="C30" s="11" t="str">
        <f>INDEX(Positive_Set!$L$2:$L$87,MATCH(A30,Positive_Set!$A$2:$A$87,0))</f>
        <v>critical</v>
      </c>
      <c r="D30" s="12"/>
      <c r="E30" s="11" t="str">
        <f t="shared" si="0"/>
        <v/>
      </c>
      <c r="F30" s="12"/>
      <c r="G30" s="12"/>
      <c r="H30" s="12"/>
      <c r="I30" s="12"/>
      <c r="J30" s="11" t="str">
        <f t="shared" si="1"/>
        <v/>
      </c>
      <c r="K30" s="12"/>
    </row>
    <row r="31" spans="1:14" x14ac:dyDescent="0.35">
      <c r="A31" s="11" t="str">
        <f>Positive_Set!A28</f>
        <v>P-027</v>
      </c>
      <c r="B31" s="11" t="str">
        <f>INDEX(Positive_Set!$G$2:$G$87,MATCH(A31,Positive_Set!$A$2:$A$87,0))</f>
        <v>sns_topics_not_publicly_accessible</v>
      </c>
      <c r="C31" s="11" t="str">
        <f>INDEX(Positive_Set!$L$2:$L$87,MATCH(A31,Positive_Set!$A$2:$A$87,0))</f>
        <v>high</v>
      </c>
      <c r="D31" s="12"/>
      <c r="E31" s="11" t="str">
        <f t="shared" si="0"/>
        <v/>
      </c>
      <c r="F31" s="12"/>
      <c r="G31" s="12"/>
      <c r="H31" s="12"/>
      <c r="I31" s="12"/>
      <c r="J31" s="11" t="str">
        <f t="shared" si="1"/>
        <v/>
      </c>
      <c r="K31" s="12"/>
    </row>
    <row r="32" spans="1:14" x14ac:dyDescent="0.35">
      <c r="A32" s="11" t="str">
        <f>Positive_Set!A29</f>
        <v>P-028</v>
      </c>
      <c r="B32" s="11" t="str">
        <f>INDEX(Positive_Set!$G$2:$G$87,MATCH(A32,Positive_Set!$A$2:$A$87,0))</f>
        <v>awslambda_function_not_publicly_accessible</v>
      </c>
      <c r="C32" s="11" t="str">
        <f>INDEX(Positive_Set!$L$2:$L$87,MATCH(A32,Positive_Set!$A$2:$A$87,0))</f>
        <v>critical</v>
      </c>
      <c r="D32" s="12"/>
      <c r="E32" s="11" t="str">
        <f t="shared" si="0"/>
        <v/>
      </c>
      <c r="F32" s="12"/>
      <c r="G32" s="12"/>
      <c r="H32" s="12"/>
      <c r="I32" s="12"/>
      <c r="J32" s="11" t="str">
        <f t="shared" si="1"/>
        <v/>
      </c>
      <c r="K32" s="12"/>
    </row>
    <row r="33" spans="1:11" x14ac:dyDescent="0.35">
      <c r="A33" s="11" t="str">
        <f>Positive_Set!A30</f>
        <v>P-029</v>
      </c>
      <c r="B33" s="11" t="str">
        <f>INDEX(Positive_Set!$G$2:$G$87,MATCH(A33,Positive_Set!$A$2:$A$87,0))</f>
        <v>kms_key_not_publicly_accessible</v>
      </c>
      <c r="C33" s="11" t="str">
        <f>INDEX(Positive_Set!$L$2:$L$87,MATCH(A33,Positive_Set!$A$2:$A$87,0))</f>
        <v>critical</v>
      </c>
      <c r="D33" s="12"/>
      <c r="E33" s="11" t="str">
        <f t="shared" si="0"/>
        <v/>
      </c>
      <c r="F33" s="12"/>
      <c r="G33" s="12"/>
      <c r="H33" s="12"/>
      <c r="I33" s="12"/>
      <c r="J33" s="11" t="str">
        <f t="shared" si="1"/>
        <v/>
      </c>
      <c r="K33" s="12"/>
    </row>
    <row r="34" spans="1:11" x14ac:dyDescent="0.35">
      <c r="A34" s="11" t="str">
        <f>Positive_Set!A31</f>
        <v>P-030</v>
      </c>
      <c r="B34" s="11" t="str">
        <f>INDEX(Positive_Set!$G$2:$G$87,MATCH(A34,Positive_Set!$A$2:$A$87,0))</f>
        <v>glacier_vaults_policy_public_access</v>
      </c>
      <c r="C34" s="11" t="str">
        <f>INDEX(Positive_Set!$L$2:$L$87,MATCH(A34,Positive_Set!$A$2:$A$87,0))</f>
        <v>critical</v>
      </c>
      <c r="D34" s="12"/>
      <c r="E34" s="11" t="str">
        <f t="shared" si="0"/>
        <v/>
      </c>
      <c r="F34" s="12"/>
      <c r="G34" s="12"/>
      <c r="H34" s="12"/>
      <c r="I34" s="12"/>
      <c r="J34" s="11" t="str">
        <f t="shared" si="1"/>
        <v/>
      </c>
      <c r="K34" s="12"/>
    </row>
    <row r="35" spans="1:11" x14ac:dyDescent="0.35">
      <c r="A35" s="11" t="str">
        <f>Positive_Set!A32</f>
        <v>P-031</v>
      </c>
      <c r="B35" s="11" t="str">
        <f>INDEX(Positive_Set!$G$2:$G$87,MATCH(A35,Positive_Set!$A$2:$A$87,0))</f>
        <v>secretsmanager_not_publicly_accessible</v>
      </c>
      <c r="C35" s="11" t="str">
        <f>INDEX(Positive_Set!$L$2:$L$87,MATCH(A35,Positive_Set!$A$2:$A$87,0))</f>
        <v>high</v>
      </c>
      <c r="D35" s="12"/>
      <c r="E35" s="11" t="str">
        <f t="shared" si="0"/>
        <v/>
      </c>
      <c r="F35" s="12"/>
      <c r="G35" s="12"/>
      <c r="H35" s="12"/>
      <c r="I35" s="12"/>
      <c r="J35" s="11" t="str">
        <f t="shared" si="1"/>
        <v/>
      </c>
      <c r="K35" s="12"/>
    </row>
    <row r="36" spans="1:11" x14ac:dyDescent="0.35">
      <c r="A36" s="11" t="str">
        <f>Positive_Set!A33</f>
        <v>P-032</v>
      </c>
      <c r="B36" s="11" t="str">
        <f>INDEX(Positive_Set!$G$2:$G$87,MATCH(A36,Positive_Set!$A$2:$A$87,0))</f>
        <v>eventbridge_bus_exposed</v>
      </c>
      <c r="C36" s="11" t="str">
        <f>INDEX(Positive_Set!$L$2:$L$87,MATCH(A36,Positive_Set!$A$2:$A$87,0))</f>
        <v>high</v>
      </c>
      <c r="D36" s="12"/>
      <c r="E36" s="11" t="str">
        <f t="shared" si="0"/>
        <v/>
      </c>
      <c r="F36" s="12"/>
      <c r="G36" s="12"/>
      <c r="H36" s="12"/>
      <c r="I36" s="12"/>
      <c r="J36" s="11" t="str">
        <f t="shared" si="1"/>
        <v/>
      </c>
      <c r="K36" s="12"/>
    </row>
    <row r="37" spans="1:11" x14ac:dyDescent="0.35">
      <c r="A37" s="11" t="str">
        <f>Positive_Set!A34</f>
        <v>P-033</v>
      </c>
      <c r="B37" s="11" t="str">
        <f>INDEX(Positive_Set!$G$2:$G$87,MATCH(A37,Positive_Set!$A$2:$A$87,0))</f>
        <v>s3_bucket_secure_transport_policy</v>
      </c>
      <c r="C37" s="11" t="str">
        <f>INDEX(Positive_Set!$L$2:$L$87,MATCH(A37,Positive_Set!$A$2:$A$87,0))</f>
        <v>medium</v>
      </c>
      <c r="D37" s="12"/>
      <c r="E37" s="11" t="str">
        <f t="shared" ref="E37:E68" si="2">IF(D37="","",IF(LOWER(D37)=C37,1,0))</f>
        <v/>
      </c>
      <c r="F37" s="12"/>
      <c r="G37" s="12"/>
      <c r="H37" s="12"/>
      <c r="I37" s="12"/>
      <c r="J37" s="11" t="str">
        <f t="shared" ref="J37:J68" si="3">IF(COUNT(F37:I37)&lt;4,"",IF(AND(E37=1,F37=1,G37=1,H37=1,I37=1),1,0))</f>
        <v/>
      </c>
      <c r="K37" s="12"/>
    </row>
    <row r="38" spans="1:11" x14ac:dyDescent="0.35">
      <c r="A38" s="11" t="str">
        <f>Positive_Set!A35</f>
        <v>P-034</v>
      </c>
      <c r="B38" s="11" t="str">
        <f>INDEX(Positive_Set!$G$2:$G$87,MATCH(A38,Positive_Set!$A$2:$A$87,0))</f>
        <v>s3_bucket_no_mfa_delete</v>
      </c>
      <c r="C38" s="11" t="str">
        <f>INDEX(Positive_Set!$L$2:$L$87,MATCH(A38,Positive_Set!$A$2:$A$87,0))</f>
        <v>medium</v>
      </c>
      <c r="D38" s="12"/>
      <c r="E38" s="11" t="str">
        <f t="shared" si="2"/>
        <v/>
      </c>
      <c r="F38" s="12"/>
      <c r="G38" s="12"/>
      <c r="H38" s="12"/>
      <c r="I38" s="12"/>
      <c r="J38" s="11" t="str">
        <f t="shared" si="3"/>
        <v/>
      </c>
      <c r="K38" s="12"/>
    </row>
    <row r="39" spans="1:11" x14ac:dyDescent="0.35">
      <c r="A39" s="11" t="str">
        <f>Positive_Set!A36</f>
        <v>P-035</v>
      </c>
      <c r="B39" s="11" t="str">
        <f>INDEX(Positive_Set!$G$2:$G$87,MATCH(A39,Positive_Set!$A$2:$A$87,0))</f>
        <v>macie_is_enabled</v>
      </c>
      <c r="C39" s="11" t="str">
        <f>INDEX(Positive_Set!$L$2:$L$87,MATCH(A39,Positive_Set!$A$2:$A$87,0))</f>
        <v>medium</v>
      </c>
      <c r="D39" s="12"/>
      <c r="E39" s="11" t="str">
        <f t="shared" si="2"/>
        <v/>
      </c>
      <c r="F39" s="12"/>
      <c r="G39" s="12"/>
      <c r="H39" s="12"/>
      <c r="I39" s="12"/>
      <c r="J39" s="11" t="str">
        <f t="shared" si="3"/>
        <v/>
      </c>
      <c r="K39" s="12"/>
    </row>
    <row r="40" spans="1:11" x14ac:dyDescent="0.35">
      <c r="A40" s="11" t="str">
        <f>Positive_Set!A37</f>
        <v>P-036</v>
      </c>
      <c r="B40" s="11" t="str">
        <f>INDEX(Positive_Set!$G$2:$G$87,MATCH(A40,Positive_Set!$A$2:$A$87,0))</f>
        <v>s3_bucket_level_public_access_block</v>
      </c>
      <c r="C40" s="11" t="str">
        <f>INDEX(Positive_Set!$L$2:$L$87,MATCH(A40,Positive_Set!$A$2:$A$87,0))</f>
        <v>high</v>
      </c>
      <c r="D40" s="12"/>
      <c r="E40" s="11" t="str">
        <f t="shared" si="2"/>
        <v/>
      </c>
      <c r="F40" s="12"/>
      <c r="G40" s="12"/>
      <c r="H40" s="12"/>
      <c r="I40" s="12"/>
      <c r="J40" s="11" t="str">
        <f t="shared" si="3"/>
        <v/>
      </c>
      <c r="K40" s="12"/>
    </row>
    <row r="41" spans="1:11" x14ac:dyDescent="0.35">
      <c r="A41" s="11" t="str">
        <f>Positive_Set!A38</f>
        <v>P-037</v>
      </c>
      <c r="B41" s="11" t="str">
        <f>INDEX(Positive_Set!$G$2:$G$87,MATCH(A41,Positive_Set!$A$2:$A$87,0))</f>
        <v>s3_account_level_public_access_blocks</v>
      </c>
      <c r="C41" s="11" t="str">
        <f>INDEX(Positive_Set!$L$2:$L$87,MATCH(A41,Positive_Set!$A$2:$A$87,0))</f>
        <v>high</v>
      </c>
      <c r="D41" s="12"/>
      <c r="E41" s="11" t="str">
        <f t="shared" si="2"/>
        <v/>
      </c>
      <c r="F41" s="12"/>
      <c r="G41" s="12"/>
      <c r="H41" s="12"/>
      <c r="I41" s="12"/>
      <c r="J41" s="11" t="str">
        <f t="shared" si="3"/>
        <v/>
      </c>
      <c r="K41" s="12"/>
    </row>
    <row r="42" spans="1:11" x14ac:dyDescent="0.35">
      <c r="A42" s="11" t="str">
        <f>Positive_Set!A39</f>
        <v>P-038</v>
      </c>
      <c r="B42" s="11" t="str">
        <f>INDEX(Positive_Set!$G$2:$G$87,MATCH(A42,Positive_Set!$A$2:$A$87,0))</f>
        <v>rds_instance_storage_encrypted</v>
      </c>
      <c r="C42" s="11" t="str">
        <f>INDEX(Positive_Set!$L$2:$L$87,MATCH(A42,Positive_Set!$A$2:$A$87,0))</f>
        <v>high</v>
      </c>
      <c r="D42" s="12"/>
      <c r="E42" s="11" t="str">
        <f t="shared" si="2"/>
        <v/>
      </c>
      <c r="F42" s="12"/>
      <c r="G42" s="12"/>
      <c r="H42" s="12"/>
      <c r="I42" s="12"/>
      <c r="J42" s="11" t="str">
        <f t="shared" si="3"/>
        <v/>
      </c>
      <c r="K42" s="12"/>
    </row>
    <row r="43" spans="1:11" x14ac:dyDescent="0.35">
      <c r="A43" s="11" t="str">
        <f>Positive_Set!A40</f>
        <v>P-039</v>
      </c>
      <c r="B43" s="11" t="str">
        <f>INDEX(Positive_Set!$G$2:$G$87,MATCH(A43,Positive_Set!$A$2:$A$87,0))</f>
        <v>rds_instance_minor_version_upgrade_enabled</v>
      </c>
      <c r="C43" s="11" t="str">
        <f>INDEX(Positive_Set!$L$2:$L$87,MATCH(A43,Positive_Set!$A$2:$A$87,0))</f>
        <v>medium</v>
      </c>
      <c r="D43" s="12"/>
      <c r="E43" s="11" t="str">
        <f t="shared" si="2"/>
        <v/>
      </c>
      <c r="F43" s="12"/>
      <c r="G43" s="12"/>
      <c r="H43" s="12"/>
      <c r="I43" s="12"/>
      <c r="J43" s="11" t="str">
        <f t="shared" si="3"/>
        <v/>
      </c>
      <c r="K43" s="12"/>
    </row>
    <row r="44" spans="1:11" x14ac:dyDescent="0.35">
      <c r="A44" s="11" t="str">
        <f>Positive_Set!A41</f>
        <v>P-040</v>
      </c>
      <c r="B44" s="11" t="str">
        <f>INDEX(Positive_Set!$G$2:$G$87,MATCH(A44,Positive_Set!$A$2:$A$87,0))</f>
        <v>rds_instance_no_public_access</v>
      </c>
      <c r="C44" s="11" t="str">
        <f>INDEX(Positive_Set!$L$2:$L$87,MATCH(A44,Positive_Set!$A$2:$A$87,0))</f>
        <v>critical</v>
      </c>
      <c r="D44" s="12"/>
      <c r="E44" s="11" t="str">
        <f t="shared" si="2"/>
        <v/>
      </c>
      <c r="F44" s="12"/>
      <c r="G44" s="12"/>
      <c r="H44" s="12"/>
      <c r="I44" s="12"/>
      <c r="J44" s="11" t="str">
        <f t="shared" si="3"/>
        <v/>
      </c>
      <c r="K44" s="12"/>
    </row>
    <row r="45" spans="1:11" x14ac:dyDescent="0.35">
      <c r="A45" s="11" t="str">
        <f>Positive_Set!A42</f>
        <v>P-041</v>
      </c>
      <c r="B45" s="11" t="str">
        <f>INDEX(Positive_Set!$G$2:$G$87,MATCH(A45,Positive_Set!$A$2:$A$87,0))</f>
        <v>rds_cluster_multi_az</v>
      </c>
      <c r="C45" s="11" t="str">
        <f>INDEX(Positive_Set!$L$2:$L$87,MATCH(A45,Positive_Set!$A$2:$A$87,0))</f>
        <v>medium</v>
      </c>
      <c r="D45" s="12"/>
      <c r="E45" s="11" t="str">
        <f t="shared" si="2"/>
        <v/>
      </c>
      <c r="F45" s="12"/>
      <c r="G45" s="12"/>
      <c r="H45" s="12"/>
      <c r="I45" s="12"/>
      <c r="J45" s="11" t="str">
        <f t="shared" si="3"/>
        <v/>
      </c>
      <c r="K45" s="12"/>
    </row>
    <row r="46" spans="1:11" x14ac:dyDescent="0.35">
      <c r="A46" s="11" t="str">
        <f>Positive_Set!A43</f>
        <v>P-042</v>
      </c>
      <c r="B46" s="11" t="str">
        <f>INDEX(Positive_Set!$G$2:$G$87,MATCH(A46,Positive_Set!$A$2:$A$87,0))</f>
        <v>rds_instance_multi_az</v>
      </c>
      <c r="C46" s="11" t="str">
        <f>INDEX(Positive_Set!$L$2:$L$87,MATCH(A46,Positive_Set!$A$2:$A$87,0))</f>
        <v>medium</v>
      </c>
      <c r="D46" s="12"/>
      <c r="E46" s="11" t="str">
        <f t="shared" si="2"/>
        <v/>
      </c>
      <c r="F46" s="12"/>
      <c r="G46" s="12"/>
      <c r="H46" s="12"/>
      <c r="I46" s="12"/>
      <c r="J46" s="11" t="str">
        <f t="shared" si="3"/>
        <v/>
      </c>
      <c r="K46" s="12"/>
    </row>
    <row r="47" spans="1:11" x14ac:dyDescent="0.35">
      <c r="A47" s="11" t="str">
        <f>Positive_Set!A44</f>
        <v>P-043</v>
      </c>
      <c r="B47" s="11" t="str">
        <f>INDEX(Positive_Set!$G$2:$G$87,MATCH(A47,Positive_Set!$A$2:$A$87,0))</f>
        <v>efs_encryption_at_rest_enabled</v>
      </c>
      <c r="C47" s="11" t="str">
        <f>INDEX(Positive_Set!$L$2:$L$87,MATCH(A47,Positive_Set!$A$2:$A$87,0))</f>
        <v>medium</v>
      </c>
      <c r="D47" s="12"/>
      <c r="E47" s="11" t="str">
        <f t="shared" si="2"/>
        <v/>
      </c>
      <c r="F47" s="12"/>
      <c r="G47" s="12"/>
      <c r="H47" s="12"/>
      <c r="I47" s="12"/>
      <c r="J47" s="11" t="str">
        <f t="shared" si="3"/>
        <v/>
      </c>
      <c r="K47" s="12"/>
    </row>
    <row r="48" spans="1:11" x14ac:dyDescent="0.35">
      <c r="A48" s="11" t="str">
        <f>Positive_Set!A45</f>
        <v>P-044</v>
      </c>
      <c r="B48" s="11" t="str">
        <f>INDEX(Positive_Set!$G$2:$G$87,MATCH(A48,Positive_Set!$A$2:$A$87,0))</f>
        <v>cloudtrail_multi_region_enabled</v>
      </c>
      <c r="C48" s="11" t="str">
        <f>INDEX(Positive_Set!$L$2:$L$87,MATCH(A48,Positive_Set!$A$2:$A$87,0))</f>
        <v>high</v>
      </c>
      <c r="D48" s="12"/>
      <c r="E48" s="11" t="str">
        <f t="shared" si="2"/>
        <v/>
      </c>
      <c r="F48" s="12"/>
      <c r="G48" s="12"/>
      <c r="H48" s="12"/>
      <c r="I48" s="12"/>
      <c r="J48" s="11" t="str">
        <f t="shared" si="3"/>
        <v/>
      </c>
      <c r="K48" s="12"/>
    </row>
    <row r="49" spans="1:11" x14ac:dyDescent="0.35">
      <c r="A49" s="11" t="str">
        <f>Positive_Set!A46</f>
        <v>P-045</v>
      </c>
      <c r="B49" s="11" t="str">
        <f>INDEX(Positive_Set!$G$2:$G$87,MATCH(A49,Positive_Set!$A$2:$A$87,0))</f>
        <v>cloudtrail_log_file_validation_enabled</v>
      </c>
      <c r="C49" s="11" t="str">
        <f>INDEX(Positive_Set!$L$2:$L$87,MATCH(A49,Positive_Set!$A$2:$A$87,0))</f>
        <v>medium</v>
      </c>
      <c r="D49" s="12"/>
      <c r="E49" s="11" t="str">
        <f t="shared" si="2"/>
        <v/>
      </c>
      <c r="F49" s="12"/>
      <c r="G49" s="12"/>
      <c r="H49" s="12"/>
      <c r="I49" s="12"/>
      <c r="J49" s="11" t="str">
        <f t="shared" si="3"/>
        <v/>
      </c>
      <c r="K49" s="12"/>
    </row>
    <row r="50" spans="1:11" x14ac:dyDescent="0.35">
      <c r="A50" s="11" t="str">
        <f>Positive_Set!A47</f>
        <v>P-046</v>
      </c>
      <c r="B50" s="11" t="str">
        <f>INDEX(Positive_Set!$G$2:$G$87,MATCH(A50,Positive_Set!$A$2:$A$87,0))</f>
        <v>config_recorder_all_regions_enabled</v>
      </c>
      <c r="C50" s="11" t="str">
        <f>INDEX(Positive_Set!$L$2:$L$87,MATCH(A50,Positive_Set!$A$2:$A$87,0))</f>
        <v>medium</v>
      </c>
      <c r="D50" s="12"/>
      <c r="E50" s="11" t="str">
        <f t="shared" si="2"/>
        <v/>
      </c>
      <c r="F50" s="12"/>
      <c r="G50" s="12"/>
      <c r="H50" s="12"/>
      <c r="I50" s="12"/>
      <c r="J50" s="11" t="str">
        <f t="shared" si="3"/>
        <v/>
      </c>
      <c r="K50" s="12"/>
    </row>
    <row r="51" spans="1:11" x14ac:dyDescent="0.35">
      <c r="A51" s="11" t="str">
        <f>Positive_Set!A48</f>
        <v>P-047</v>
      </c>
      <c r="B51" s="11" t="str">
        <f>INDEX(Positive_Set!$G$2:$G$87,MATCH(A51,Positive_Set!$A$2:$A$87,0))</f>
        <v>cloudtrail_logs_s3_bucket_access_logging_enabled</v>
      </c>
      <c r="C51" s="11" t="str">
        <f>INDEX(Positive_Set!$L$2:$L$87,MATCH(A51,Positive_Set!$A$2:$A$87,0))</f>
        <v>medium</v>
      </c>
      <c r="D51" s="12"/>
      <c r="E51" s="11" t="str">
        <f t="shared" si="2"/>
        <v/>
      </c>
      <c r="F51" s="12"/>
      <c r="G51" s="12"/>
      <c r="H51" s="12"/>
      <c r="I51" s="12"/>
      <c r="J51" s="11" t="str">
        <f t="shared" si="3"/>
        <v/>
      </c>
      <c r="K51" s="12"/>
    </row>
    <row r="52" spans="1:11" x14ac:dyDescent="0.35">
      <c r="A52" s="11" t="str">
        <f>Positive_Set!A49</f>
        <v>P-048</v>
      </c>
      <c r="B52" s="11" t="str">
        <f>INDEX(Positive_Set!$G$2:$G$87,MATCH(A52,Positive_Set!$A$2:$A$87,0))</f>
        <v>cloudtrail_kms_encryption_enabled</v>
      </c>
      <c r="C52" s="11" t="str">
        <f>INDEX(Positive_Set!$L$2:$L$87,MATCH(A52,Positive_Set!$A$2:$A$87,0))</f>
        <v>medium</v>
      </c>
      <c r="D52" s="12"/>
      <c r="E52" s="11" t="str">
        <f t="shared" si="2"/>
        <v/>
      </c>
      <c r="F52" s="12"/>
      <c r="G52" s="12"/>
      <c r="H52" s="12"/>
      <c r="I52" s="12"/>
      <c r="J52" s="11" t="str">
        <f t="shared" si="3"/>
        <v/>
      </c>
      <c r="K52" s="12"/>
    </row>
    <row r="53" spans="1:11" x14ac:dyDescent="0.35">
      <c r="A53" s="11" t="str">
        <f>Positive_Set!A50</f>
        <v>P-049</v>
      </c>
      <c r="B53" s="11" t="str">
        <f>INDEX(Positive_Set!$G$2:$G$87,MATCH(A53,Positive_Set!$A$2:$A$87,0))</f>
        <v>kms_cmk_rotation_enabled</v>
      </c>
      <c r="C53" s="11" t="str">
        <f>INDEX(Positive_Set!$L$2:$L$87,MATCH(A53,Positive_Set!$A$2:$A$87,0))</f>
        <v>high</v>
      </c>
      <c r="D53" s="12"/>
      <c r="E53" s="11" t="str">
        <f t="shared" si="2"/>
        <v/>
      </c>
      <c r="F53" s="12"/>
      <c r="G53" s="12"/>
      <c r="H53" s="12"/>
      <c r="I53" s="12"/>
      <c r="J53" s="11" t="str">
        <f t="shared" si="3"/>
        <v/>
      </c>
      <c r="K53" s="12"/>
    </row>
    <row r="54" spans="1:11" x14ac:dyDescent="0.35">
      <c r="A54" s="11" t="str">
        <f>Positive_Set!A51</f>
        <v>P-050</v>
      </c>
      <c r="B54" s="11" t="str">
        <f>INDEX(Positive_Set!$G$2:$G$87,MATCH(A54,Positive_Set!$A$2:$A$87,0))</f>
        <v>vpc_flow_logs_enabled</v>
      </c>
      <c r="C54" s="11" t="str">
        <f>INDEX(Positive_Set!$L$2:$L$87,MATCH(A54,Positive_Set!$A$2:$A$87,0))</f>
        <v>medium</v>
      </c>
      <c r="D54" s="12"/>
      <c r="E54" s="11" t="str">
        <f t="shared" si="2"/>
        <v/>
      </c>
      <c r="F54" s="12"/>
      <c r="G54" s="12"/>
      <c r="H54" s="12"/>
      <c r="I54" s="12"/>
      <c r="J54" s="11" t="str">
        <f t="shared" si="3"/>
        <v/>
      </c>
      <c r="K54" s="12"/>
    </row>
    <row r="55" spans="1:11" x14ac:dyDescent="0.35">
      <c r="A55" s="11" t="str">
        <f>Positive_Set!A52</f>
        <v>P-051</v>
      </c>
      <c r="B55" s="11" t="str">
        <f>INDEX(Positive_Set!$G$2:$G$87,MATCH(A55,Positive_Set!$A$2:$A$87,0))</f>
        <v>cloudtrail_s3_dataevents_write_enabled</v>
      </c>
      <c r="C55" s="11" t="str">
        <f>INDEX(Positive_Set!$L$2:$L$87,MATCH(A55,Positive_Set!$A$2:$A$87,0))</f>
        <v>low</v>
      </c>
      <c r="D55" s="12"/>
      <c r="E55" s="11" t="str">
        <f t="shared" si="2"/>
        <v/>
      </c>
      <c r="F55" s="12"/>
      <c r="G55" s="12"/>
      <c r="H55" s="12"/>
      <c r="I55" s="12"/>
      <c r="J55" s="11" t="str">
        <f t="shared" si="3"/>
        <v/>
      </c>
      <c r="K55" s="12"/>
    </row>
    <row r="56" spans="1:11" x14ac:dyDescent="0.35">
      <c r="A56" s="11" t="str">
        <f>Positive_Set!A53</f>
        <v>P-052</v>
      </c>
      <c r="B56" s="11" t="str">
        <f>INDEX(Positive_Set!$G$2:$G$87,MATCH(A56,Positive_Set!$A$2:$A$87,0))</f>
        <v>cloudtrail_s3_dataevents_read_enabled</v>
      </c>
      <c r="C56" s="11" t="str">
        <f>INDEX(Positive_Set!$L$2:$L$87,MATCH(A56,Positive_Set!$A$2:$A$87,0))</f>
        <v>low</v>
      </c>
      <c r="D56" s="12"/>
      <c r="E56" s="11" t="str">
        <f t="shared" si="2"/>
        <v/>
      </c>
      <c r="F56" s="12"/>
      <c r="G56" s="12"/>
      <c r="H56" s="12"/>
      <c r="I56" s="12"/>
      <c r="J56" s="11" t="str">
        <f t="shared" si="3"/>
        <v/>
      </c>
      <c r="K56" s="12"/>
    </row>
    <row r="57" spans="1:11" x14ac:dyDescent="0.35">
      <c r="A57" s="11" t="str">
        <f>Positive_Set!A54</f>
        <v>P-053</v>
      </c>
      <c r="B57" s="11" t="str">
        <f>INDEX(Positive_Set!$G$2:$G$87,MATCH(A57,Positive_Set!$A$2:$A$87,0))</f>
        <v>cloudfront_distributions_logging_enabled</v>
      </c>
      <c r="C57" s="11" t="str">
        <f>INDEX(Positive_Set!$L$2:$L$87,MATCH(A57,Positive_Set!$A$2:$A$87,0))</f>
        <v>medium</v>
      </c>
      <c r="D57" s="12"/>
      <c r="E57" s="11" t="str">
        <f t="shared" si="2"/>
        <v/>
      </c>
      <c r="F57" s="12"/>
      <c r="G57" s="12"/>
      <c r="H57" s="12"/>
      <c r="I57" s="12"/>
      <c r="J57" s="11" t="str">
        <f t="shared" si="3"/>
        <v/>
      </c>
      <c r="K57" s="12"/>
    </row>
    <row r="58" spans="1:11" x14ac:dyDescent="0.35">
      <c r="A58" s="11" t="str">
        <f>Positive_Set!A55</f>
        <v>P-054</v>
      </c>
      <c r="B58" s="11" t="str">
        <f>INDEX(Positive_Set!$G$2:$G$87,MATCH(A58,Positive_Set!$A$2:$A$87,0))</f>
        <v>elbv2_logging_enabled</v>
      </c>
      <c r="C58" s="11" t="str">
        <f>INDEX(Positive_Set!$L$2:$L$87,MATCH(A58,Positive_Set!$A$2:$A$87,0))</f>
        <v>medium</v>
      </c>
      <c r="D58" s="12"/>
      <c r="E58" s="11" t="str">
        <f t="shared" si="2"/>
        <v/>
      </c>
      <c r="F58" s="12"/>
      <c r="G58" s="12"/>
      <c r="H58" s="12"/>
      <c r="I58" s="12"/>
      <c r="J58" s="11" t="str">
        <f t="shared" si="3"/>
        <v/>
      </c>
      <c r="K58" s="12"/>
    </row>
    <row r="59" spans="1:11" x14ac:dyDescent="0.35">
      <c r="A59" s="11" t="str">
        <f>Positive_Set!A56</f>
        <v>P-055</v>
      </c>
      <c r="B59" s="11" t="str">
        <f>INDEX(Positive_Set!$G$2:$G$87,MATCH(A59,Positive_Set!$A$2:$A$87,0))</f>
        <v>apigateway_restapi_logging_enabled</v>
      </c>
      <c r="C59" s="11" t="str">
        <f>INDEX(Positive_Set!$L$2:$L$87,MATCH(A59,Positive_Set!$A$2:$A$87,0))</f>
        <v>medium</v>
      </c>
      <c r="D59" s="12"/>
      <c r="E59" s="11" t="str">
        <f t="shared" si="2"/>
        <v/>
      </c>
      <c r="F59" s="12"/>
      <c r="G59" s="12"/>
      <c r="H59" s="12"/>
      <c r="I59" s="12"/>
      <c r="J59" s="11" t="str">
        <f t="shared" si="3"/>
        <v/>
      </c>
      <c r="K59" s="12"/>
    </row>
    <row r="60" spans="1:11" x14ac:dyDescent="0.35">
      <c r="A60" s="11" t="str">
        <f>Positive_Set!A57</f>
        <v>P-056</v>
      </c>
      <c r="B60" s="11" t="str">
        <f>INDEX(Positive_Set!$G$2:$G$87,MATCH(A60,Positive_Set!$A$2:$A$87,0))</f>
        <v>apigatewayv2_api_access_logging_enabled</v>
      </c>
      <c r="C60" s="11" t="str">
        <f>INDEX(Positive_Set!$L$2:$L$87,MATCH(A60,Positive_Set!$A$2:$A$87,0))</f>
        <v>medium</v>
      </c>
      <c r="D60" s="12"/>
      <c r="E60" s="11" t="str">
        <f t="shared" si="2"/>
        <v/>
      </c>
      <c r="F60" s="12"/>
      <c r="G60" s="12"/>
      <c r="H60" s="12"/>
      <c r="I60" s="12"/>
      <c r="J60" s="11" t="str">
        <f t="shared" si="3"/>
        <v/>
      </c>
      <c r="K60" s="12"/>
    </row>
    <row r="61" spans="1:11" x14ac:dyDescent="0.35">
      <c r="A61" s="11" t="str">
        <f>Positive_Set!A58</f>
        <v>P-057</v>
      </c>
      <c r="B61" s="11" t="str">
        <f>INDEX(Positive_Set!$G$2:$G$87,MATCH(A61,Positive_Set!$A$2:$A$87,0))</f>
        <v>cloudwatch_log_metric_filter_unauthorized_api_calls</v>
      </c>
      <c r="C61" s="11" t="str">
        <f>INDEX(Positive_Set!$L$2:$L$87,MATCH(A61,Positive_Set!$A$2:$A$87,0))</f>
        <v>medium</v>
      </c>
      <c r="D61" s="12"/>
      <c r="E61" s="11" t="str">
        <f t="shared" si="2"/>
        <v/>
      </c>
      <c r="F61" s="12"/>
      <c r="G61" s="12"/>
      <c r="H61" s="12"/>
      <c r="I61" s="12"/>
      <c r="J61" s="11" t="str">
        <f t="shared" si="3"/>
        <v/>
      </c>
      <c r="K61" s="12"/>
    </row>
    <row r="62" spans="1:11" x14ac:dyDescent="0.35">
      <c r="A62" s="11" t="str">
        <f>Positive_Set!A59</f>
        <v>P-058</v>
      </c>
      <c r="B62" s="11" t="str">
        <f>INDEX(Positive_Set!$G$2:$G$87,MATCH(A62,Positive_Set!$A$2:$A$87,0))</f>
        <v>cloudwatch_log_metric_filter_sign_in_without_mfa</v>
      </c>
      <c r="C62" s="11" t="str">
        <f>INDEX(Positive_Set!$L$2:$L$87,MATCH(A62,Positive_Set!$A$2:$A$87,0))</f>
        <v>medium</v>
      </c>
      <c r="D62" s="12"/>
      <c r="E62" s="11" t="str">
        <f t="shared" si="2"/>
        <v/>
      </c>
      <c r="F62" s="12"/>
      <c r="G62" s="12"/>
      <c r="H62" s="12"/>
      <c r="I62" s="12"/>
      <c r="J62" s="11" t="str">
        <f t="shared" si="3"/>
        <v/>
      </c>
      <c r="K62" s="12"/>
    </row>
    <row r="63" spans="1:11" x14ac:dyDescent="0.35">
      <c r="A63" s="11" t="str">
        <f>Positive_Set!A60</f>
        <v>P-059</v>
      </c>
      <c r="B63" s="11" t="str">
        <f>INDEX(Positive_Set!$G$2:$G$87,MATCH(A63,Positive_Set!$A$2:$A$87,0))</f>
        <v>cloudwatch_log_metric_filter_root_usage</v>
      </c>
      <c r="C63" s="11" t="str">
        <f>INDEX(Positive_Set!$L$2:$L$87,MATCH(A63,Positive_Set!$A$2:$A$87,0))</f>
        <v>medium</v>
      </c>
      <c r="D63" s="12"/>
      <c r="E63" s="11" t="str">
        <f t="shared" si="2"/>
        <v/>
      </c>
      <c r="F63" s="12"/>
      <c r="G63" s="12"/>
      <c r="H63" s="12"/>
      <c r="I63" s="12"/>
      <c r="J63" s="11" t="str">
        <f t="shared" si="3"/>
        <v/>
      </c>
      <c r="K63" s="12"/>
    </row>
    <row r="64" spans="1:11" x14ac:dyDescent="0.35">
      <c r="A64" s="11" t="str">
        <f>Positive_Set!A61</f>
        <v>P-060</v>
      </c>
      <c r="B64" s="11" t="str">
        <f>INDEX(Positive_Set!$G$2:$G$87,MATCH(A64,Positive_Set!$A$2:$A$87,0))</f>
        <v>cloudwatch_log_metric_filter_policy_changes</v>
      </c>
      <c r="C64" s="11" t="str">
        <f>INDEX(Positive_Set!$L$2:$L$87,MATCH(A64,Positive_Set!$A$2:$A$87,0))</f>
        <v>medium</v>
      </c>
      <c r="D64" s="12"/>
      <c r="E64" s="11" t="str">
        <f t="shared" si="2"/>
        <v/>
      </c>
      <c r="F64" s="12"/>
      <c r="G64" s="12"/>
      <c r="H64" s="12"/>
      <c r="I64" s="12"/>
      <c r="J64" s="11" t="str">
        <f t="shared" si="3"/>
        <v/>
      </c>
      <c r="K64" s="12"/>
    </row>
    <row r="65" spans="1:11" x14ac:dyDescent="0.35">
      <c r="A65" s="11" t="str">
        <f>Positive_Set!A62</f>
        <v>P-061</v>
      </c>
      <c r="B65" s="11" t="str">
        <f>INDEX(Positive_Set!$G$2:$G$87,MATCH(A65,Positive_Set!$A$2:$A$87,0))</f>
        <v>cloudwatch_log_metric_filter_and_alarm_for_cloudtrail_configuration_changes_enabled</v>
      </c>
      <c r="C65" s="11" t="str">
        <f>INDEX(Positive_Set!$L$2:$L$87,MATCH(A65,Positive_Set!$A$2:$A$87,0))</f>
        <v>medium</v>
      </c>
      <c r="D65" s="12"/>
      <c r="E65" s="11" t="str">
        <f t="shared" si="2"/>
        <v/>
      </c>
      <c r="F65" s="12"/>
      <c r="G65" s="12"/>
      <c r="H65" s="12"/>
      <c r="I65" s="12"/>
      <c r="J65" s="11" t="str">
        <f t="shared" si="3"/>
        <v/>
      </c>
      <c r="K65" s="12"/>
    </row>
    <row r="66" spans="1:11" x14ac:dyDescent="0.35">
      <c r="A66" s="11" t="str">
        <f>Positive_Set!A63</f>
        <v>P-062</v>
      </c>
      <c r="B66" s="11" t="str">
        <f>INDEX(Positive_Set!$G$2:$G$87,MATCH(A66,Positive_Set!$A$2:$A$87,0))</f>
        <v>cloudwatch_log_metric_filter_authentication_failures</v>
      </c>
      <c r="C66" s="11" t="str">
        <f>INDEX(Positive_Set!$L$2:$L$87,MATCH(A66,Positive_Set!$A$2:$A$87,0))</f>
        <v>medium</v>
      </c>
      <c r="D66" s="12"/>
      <c r="E66" s="11" t="str">
        <f t="shared" si="2"/>
        <v/>
      </c>
      <c r="F66" s="12"/>
      <c r="G66" s="12"/>
      <c r="H66" s="12"/>
      <c r="I66" s="12"/>
      <c r="J66" s="11" t="str">
        <f t="shared" si="3"/>
        <v/>
      </c>
      <c r="K66" s="12"/>
    </row>
    <row r="67" spans="1:11" x14ac:dyDescent="0.35">
      <c r="A67" s="11" t="str">
        <f>Positive_Set!A64</f>
        <v>P-063</v>
      </c>
      <c r="B67" s="11" t="str">
        <f>INDEX(Positive_Set!$G$2:$G$87,MATCH(A67,Positive_Set!$A$2:$A$87,0))</f>
        <v>cloudwatch_log_metric_filter_disable_or_scheduled_deletion_of_kms_cmk</v>
      </c>
      <c r="C67" s="11" t="str">
        <f>INDEX(Positive_Set!$L$2:$L$87,MATCH(A67,Positive_Set!$A$2:$A$87,0))</f>
        <v>medium</v>
      </c>
      <c r="D67" s="12"/>
      <c r="E67" s="11" t="str">
        <f t="shared" si="2"/>
        <v/>
      </c>
      <c r="F67" s="12"/>
      <c r="G67" s="12"/>
      <c r="H67" s="12"/>
      <c r="I67" s="12"/>
      <c r="J67" s="11" t="str">
        <f t="shared" si="3"/>
        <v/>
      </c>
      <c r="K67" s="12"/>
    </row>
    <row r="68" spans="1:11" x14ac:dyDescent="0.35">
      <c r="A68" s="11" t="str">
        <f>Positive_Set!A65</f>
        <v>P-064</v>
      </c>
      <c r="B68" s="11" t="str">
        <f>INDEX(Positive_Set!$G$2:$G$87,MATCH(A68,Positive_Set!$A$2:$A$87,0))</f>
        <v>cloudwatch_log_metric_filter_for_s3_bucket_policy_changes</v>
      </c>
      <c r="C68" s="11" t="str">
        <f>INDEX(Positive_Set!$L$2:$L$87,MATCH(A68,Positive_Set!$A$2:$A$87,0))</f>
        <v>medium</v>
      </c>
      <c r="D68" s="12"/>
      <c r="E68" s="11" t="str">
        <f t="shared" si="2"/>
        <v/>
      </c>
      <c r="F68" s="12"/>
      <c r="G68" s="12"/>
      <c r="H68" s="12"/>
      <c r="I68" s="12"/>
      <c r="J68" s="11" t="str">
        <f t="shared" si="3"/>
        <v/>
      </c>
      <c r="K68" s="12"/>
    </row>
    <row r="69" spans="1:11" x14ac:dyDescent="0.35">
      <c r="A69" s="11" t="str">
        <f>Positive_Set!A66</f>
        <v>P-065</v>
      </c>
      <c r="B69" s="11" t="str">
        <f>INDEX(Positive_Set!$G$2:$G$87,MATCH(A69,Positive_Set!$A$2:$A$87,0))</f>
        <v>cloudwatch_log_metric_filter_and_alarm_for_aws_config_configuration_changes_enabled</v>
      </c>
      <c r="C69" s="11" t="str">
        <f>INDEX(Positive_Set!$L$2:$L$87,MATCH(A69,Positive_Set!$A$2:$A$87,0))</f>
        <v>medium</v>
      </c>
      <c r="D69" s="12"/>
      <c r="E69" s="11" t="str">
        <f t="shared" ref="E69:E100" si="4">IF(D69="","",IF(LOWER(D69)=C69,1,0))</f>
        <v/>
      </c>
      <c r="F69" s="12"/>
      <c r="G69" s="12"/>
      <c r="H69" s="12"/>
      <c r="I69" s="12"/>
      <c r="J69" s="11" t="str">
        <f t="shared" ref="J69:J100" si="5">IF(COUNT(F69:I69)&lt;4,"",IF(AND(E69=1,F69=1,G69=1,H69=1,I69=1),1,0))</f>
        <v/>
      </c>
      <c r="K69" s="12"/>
    </row>
    <row r="70" spans="1:11" x14ac:dyDescent="0.35">
      <c r="A70" s="11" t="str">
        <f>Positive_Set!A67</f>
        <v>P-066</v>
      </c>
      <c r="B70" s="11" t="str">
        <f>INDEX(Positive_Set!$G$2:$G$87,MATCH(A70,Positive_Set!$A$2:$A$87,0))</f>
        <v>cloudwatch_log_metric_filter_security_group_changes</v>
      </c>
      <c r="C70" s="11" t="str">
        <f>INDEX(Positive_Set!$L$2:$L$87,MATCH(A70,Positive_Set!$A$2:$A$87,0))</f>
        <v>medium</v>
      </c>
      <c r="D70" s="12"/>
      <c r="E70" s="11" t="str">
        <f t="shared" si="4"/>
        <v/>
      </c>
      <c r="F70" s="12"/>
      <c r="G70" s="12"/>
      <c r="H70" s="12"/>
      <c r="I70" s="12"/>
      <c r="J70" s="11" t="str">
        <f t="shared" si="5"/>
        <v/>
      </c>
      <c r="K70" s="12"/>
    </row>
    <row r="71" spans="1:11" x14ac:dyDescent="0.35">
      <c r="A71" s="11" t="str">
        <f>Positive_Set!A68</f>
        <v>P-067</v>
      </c>
      <c r="B71" s="11" t="str">
        <f>INDEX(Positive_Set!$G$2:$G$87,MATCH(A71,Positive_Set!$A$2:$A$87,0))</f>
        <v>cloudwatch_changes_to_network_acls_alarm_configured</v>
      </c>
      <c r="C71" s="11" t="str">
        <f>INDEX(Positive_Set!$L$2:$L$87,MATCH(A71,Positive_Set!$A$2:$A$87,0))</f>
        <v>medium</v>
      </c>
      <c r="D71" s="12"/>
      <c r="E71" s="11" t="str">
        <f t="shared" si="4"/>
        <v/>
      </c>
      <c r="F71" s="12"/>
      <c r="G71" s="12"/>
      <c r="H71" s="12"/>
      <c r="I71" s="12"/>
      <c r="J71" s="11" t="str">
        <f t="shared" si="5"/>
        <v/>
      </c>
      <c r="K71" s="12"/>
    </row>
    <row r="72" spans="1:11" x14ac:dyDescent="0.35">
      <c r="A72" s="11" t="str">
        <f>Positive_Set!A69</f>
        <v>P-068</v>
      </c>
      <c r="B72" s="11" t="str">
        <f>INDEX(Positive_Set!$G$2:$G$87,MATCH(A72,Positive_Set!$A$2:$A$87,0))</f>
        <v>cloudwatch_changes_to_network_gateways_alarm_configured</v>
      </c>
      <c r="C72" s="11" t="str">
        <f>INDEX(Positive_Set!$L$2:$L$87,MATCH(A72,Positive_Set!$A$2:$A$87,0))</f>
        <v>medium</v>
      </c>
      <c r="D72" s="12"/>
      <c r="E72" s="11" t="str">
        <f t="shared" si="4"/>
        <v/>
      </c>
      <c r="F72" s="12"/>
      <c r="G72" s="12"/>
      <c r="H72" s="12"/>
      <c r="I72" s="12"/>
      <c r="J72" s="11" t="str">
        <f t="shared" si="5"/>
        <v/>
      </c>
      <c r="K72" s="12"/>
    </row>
    <row r="73" spans="1:11" x14ac:dyDescent="0.35">
      <c r="A73" s="11" t="str">
        <f>Positive_Set!A70</f>
        <v>P-069</v>
      </c>
      <c r="B73" s="11" t="str">
        <f>INDEX(Positive_Set!$G$2:$G$87,MATCH(A73,Positive_Set!$A$2:$A$87,0))</f>
        <v>cloudwatch_changes_to_network_route_tables_alarm_configured</v>
      </c>
      <c r="C73" s="11" t="str">
        <f>INDEX(Positive_Set!$L$2:$L$87,MATCH(A73,Positive_Set!$A$2:$A$87,0))</f>
        <v>medium</v>
      </c>
      <c r="D73" s="12"/>
      <c r="E73" s="11" t="str">
        <f t="shared" si="4"/>
        <v/>
      </c>
      <c r="F73" s="12"/>
      <c r="G73" s="12"/>
      <c r="H73" s="12"/>
      <c r="I73" s="12"/>
      <c r="J73" s="11" t="str">
        <f t="shared" si="5"/>
        <v/>
      </c>
      <c r="K73" s="12"/>
    </row>
    <row r="74" spans="1:11" x14ac:dyDescent="0.35">
      <c r="A74" s="11" t="str">
        <f>Positive_Set!A71</f>
        <v>P-070</v>
      </c>
      <c r="B74" s="11" t="str">
        <f>INDEX(Positive_Set!$G$2:$G$87,MATCH(A74,Positive_Set!$A$2:$A$87,0))</f>
        <v>cloudwatch_changes_to_vpcs_alarm_configured</v>
      </c>
      <c r="C74" s="11" t="str">
        <f>INDEX(Positive_Set!$L$2:$L$87,MATCH(A74,Positive_Set!$A$2:$A$87,0))</f>
        <v>medium</v>
      </c>
      <c r="D74" s="12"/>
      <c r="E74" s="11" t="str">
        <f t="shared" si="4"/>
        <v/>
      </c>
      <c r="F74" s="12"/>
      <c r="G74" s="12"/>
      <c r="H74" s="12"/>
      <c r="I74" s="12"/>
      <c r="J74" s="11" t="str">
        <f t="shared" si="5"/>
        <v/>
      </c>
      <c r="K74" s="12"/>
    </row>
    <row r="75" spans="1:11" x14ac:dyDescent="0.35">
      <c r="A75" s="11" t="str">
        <f>Positive_Set!A72</f>
        <v>P-071</v>
      </c>
      <c r="B75" s="11" t="str">
        <f>INDEX(Positive_Set!$G$2:$G$87,MATCH(A75,Positive_Set!$A$2:$A$87,0))</f>
        <v>cloudwatch_log_metric_filter_aws_organizations_changes</v>
      </c>
      <c r="C75" s="11" t="str">
        <f>INDEX(Positive_Set!$L$2:$L$87,MATCH(A75,Positive_Set!$A$2:$A$87,0))</f>
        <v>medium</v>
      </c>
      <c r="D75" s="12"/>
      <c r="E75" s="11" t="str">
        <f t="shared" si="4"/>
        <v/>
      </c>
      <c r="F75" s="12"/>
      <c r="G75" s="12"/>
      <c r="H75" s="12"/>
      <c r="I75" s="12"/>
      <c r="J75" s="11" t="str">
        <f t="shared" si="5"/>
        <v/>
      </c>
      <c r="K75" s="12"/>
    </row>
    <row r="76" spans="1:11" x14ac:dyDescent="0.35">
      <c r="A76" s="11" t="str">
        <f>Positive_Set!A73</f>
        <v>P-072</v>
      </c>
      <c r="B76" s="11" t="str">
        <f>INDEX(Positive_Set!$G$2:$G$87,MATCH(A76,Positive_Set!$A$2:$A$87,0))</f>
        <v>securityhub_enabled</v>
      </c>
      <c r="C76" s="11" t="str">
        <f>INDEX(Positive_Set!$L$2:$L$87,MATCH(A76,Positive_Set!$A$2:$A$87,0))</f>
        <v>high</v>
      </c>
      <c r="D76" s="12"/>
      <c r="E76" s="11" t="str">
        <f t="shared" si="4"/>
        <v/>
      </c>
      <c r="F76" s="12"/>
      <c r="G76" s="12"/>
      <c r="H76" s="12"/>
      <c r="I76" s="12"/>
      <c r="J76" s="11" t="str">
        <f t="shared" si="5"/>
        <v/>
      </c>
      <c r="K76" s="12"/>
    </row>
    <row r="77" spans="1:11" x14ac:dyDescent="0.35">
      <c r="A77" s="11" t="str">
        <f>Positive_Set!A74</f>
        <v>P-073</v>
      </c>
      <c r="B77" s="11" t="str">
        <f>INDEX(Positive_Set!$G$2:$G$87,MATCH(A77,Positive_Set!$A$2:$A$87,0))</f>
        <v>ec2_ebs_default_encryption</v>
      </c>
      <c r="C77" s="11" t="str">
        <f>INDEX(Positive_Set!$L$2:$L$87,MATCH(A77,Positive_Set!$A$2:$A$87,0))</f>
        <v>high</v>
      </c>
      <c r="D77" s="12"/>
      <c r="E77" s="11" t="str">
        <f t="shared" si="4"/>
        <v/>
      </c>
      <c r="F77" s="12"/>
      <c r="G77" s="12"/>
      <c r="H77" s="12"/>
      <c r="I77" s="12"/>
      <c r="J77" s="11" t="str">
        <f t="shared" si="5"/>
        <v/>
      </c>
      <c r="K77" s="12"/>
    </row>
    <row r="78" spans="1:11" x14ac:dyDescent="0.35">
      <c r="A78" s="11" t="str">
        <f>Positive_Set!A75</f>
        <v>P-074</v>
      </c>
      <c r="B78" s="11" t="str">
        <f>INDEX(Positive_Set!$G$2:$G$87,MATCH(A78,Positive_Set!$A$2:$A$87,0))</f>
        <v>ec2_instance_port_cifs_exposed_to_internet</v>
      </c>
      <c r="C78" s="11" t="str">
        <f>INDEX(Positive_Set!$L$2:$L$87,MATCH(A78,Positive_Set!$A$2:$A$87,0))</f>
        <v>critical</v>
      </c>
      <c r="D78" s="12"/>
      <c r="E78" s="11" t="str">
        <f t="shared" si="4"/>
        <v/>
      </c>
      <c r="F78" s="12"/>
      <c r="G78" s="12"/>
      <c r="H78" s="12"/>
      <c r="I78" s="12"/>
      <c r="J78" s="11" t="str">
        <f t="shared" si="5"/>
        <v/>
      </c>
      <c r="K78" s="12"/>
    </row>
    <row r="79" spans="1:11" x14ac:dyDescent="0.35">
      <c r="A79" s="11" t="str">
        <f>Positive_Set!A76</f>
        <v>P-075</v>
      </c>
      <c r="B79" s="11" t="str">
        <f>INDEX(Positive_Set!$G$2:$G$87,MATCH(A79,Positive_Set!$A$2:$A$87,0))</f>
        <v>ec2_networkacl_allow_ingress_any_port</v>
      </c>
      <c r="C79" s="11" t="str">
        <f>INDEX(Positive_Set!$L$2:$L$87,MATCH(A79,Positive_Set!$A$2:$A$87,0))</f>
        <v>high</v>
      </c>
      <c r="D79" s="12"/>
      <c r="E79" s="11" t="str">
        <f t="shared" si="4"/>
        <v/>
      </c>
      <c r="F79" s="12"/>
      <c r="G79" s="12"/>
      <c r="H79" s="12"/>
      <c r="I79" s="12"/>
      <c r="J79" s="11" t="str">
        <f t="shared" si="5"/>
        <v/>
      </c>
      <c r="K79" s="12"/>
    </row>
    <row r="80" spans="1:11" x14ac:dyDescent="0.35">
      <c r="A80" s="11" t="str">
        <f>Positive_Set!A77</f>
        <v>P-076</v>
      </c>
      <c r="B80" s="11" t="str">
        <f>INDEX(Positive_Set!$G$2:$G$87,MATCH(A80,Positive_Set!$A$2:$A$87,0))</f>
        <v>ec2_networkacl_allow_ingress_tcp_port_22</v>
      </c>
      <c r="C80" s="11" t="str">
        <f>INDEX(Positive_Set!$L$2:$L$87,MATCH(A80,Positive_Set!$A$2:$A$87,0))</f>
        <v>medium</v>
      </c>
      <c r="D80" s="12"/>
      <c r="E80" s="11" t="str">
        <f t="shared" si="4"/>
        <v/>
      </c>
      <c r="F80" s="12"/>
      <c r="G80" s="12"/>
      <c r="H80" s="12"/>
      <c r="I80" s="12"/>
      <c r="J80" s="11" t="str">
        <f t="shared" si="5"/>
        <v/>
      </c>
      <c r="K80" s="12"/>
    </row>
    <row r="81" spans="1:11" x14ac:dyDescent="0.35">
      <c r="A81" s="11" t="str">
        <f>Positive_Set!A78</f>
        <v>P-077</v>
      </c>
      <c r="B81" s="11" t="str">
        <f>INDEX(Positive_Set!$G$2:$G$87,MATCH(A81,Positive_Set!$A$2:$A$87,0))</f>
        <v>ec2_networkacl_allow_ingress_tcp_port_3389</v>
      </c>
      <c r="C81" s="11" t="str">
        <f>INDEX(Positive_Set!$L$2:$L$87,MATCH(A81,Positive_Set!$A$2:$A$87,0))</f>
        <v>medium</v>
      </c>
      <c r="D81" s="12"/>
      <c r="E81" s="11" t="str">
        <f t="shared" si="4"/>
        <v/>
      </c>
      <c r="F81" s="12"/>
      <c r="G81" s="12"/>
      <c r="H81" s="12"/>
      <c r="I81" s="12"/>
      <c r="J81" s="11" t="str">
        <f t="shared" si="5"/>
        <v/>
      </c>
      <c r="K81" s="12"/>
    </row>
    <row r="82" spans="1:11" x14ac:dyDescent="0.35">
      <c r="A82" s="11" t="str">
        <f>Positive_Set!A79</f>
        <v>P-078</v>
      </c>
      <c r="B82" s="11" t="str">
        <f>INDEX(Positive_Set!$G$2:$G$87,MATCH(A82,Positive_Set!$A$2:$A$87,0))</f>
        <v>ec2_securitygroup_allow_ingress_from_internet_to_all_ports</v>
      </c>
      <c r="C82" s="11" t="str">
        <f>INDEX(Positive_Set!$L$2:$L$87,MATCH(A82,Positive_Set!$A$2:$A$87,0))</f>
        <v>critical</v>
      </c>
      <c r="D82" s="12"/>
      <c r="E82" s="11" t="str">
        <f t="shared" si="4"/>
        <v/>
      </c>
      <c r="F82" s="12"/>
      <c r="G82" s="12"/>
      <c r="H82" s="12"/>
      <c r="I82" s="12"/>
      <c r="J82" s="11" t="str">
        <f t="shared" si="5"/>
        <v/>
      </c>
      <c r="K82" s="12"/>
    </row>
    <row r="83" spans="1:11" x14ac:dyDescent="0.35">
      <c r="A83" s="11" t="str">
        <f>Positive_Set!A80</f>
        <v>P-079</v>
      </c>
      <c r="B83" s="11" t="str">
        <f>INDEX(Positive_Set!$G$2:$G$87,MATCH(A83,Positive_Set!$A$2:$A$87,0))</f>
        <v>ec2_securitygroup_allow_ingress_from_internet_to_tcp_port_22</v>
      </c>
      <c r="C83" s="11" t="str">
        <f>INDEX(Positive_Set!$L$2:$L$87,MATCH(A83,Positive_Set!$A$2:$A$87,0))</f>
        <v>high</v>
      </c>
      <c r="D83" s="12"/>
      <c r="E83" s="11" t="str">
        <f t="shared" si="4"/>
        <v/>
      </c>
      <c r="F83" s="12"/>
      <c r="G83" s="12"/>
      <c r="H83" s="12"/>
      <c r="I83" s="12"/>
      <c r="J83" s="11" t="str">
        <f t="shared" si="5"/>
        <v/>
      </c>
      <c r="K83" s="12"/>
    </row>
    <row r="84" spans="1:11" x14ac:dyDescent="0.35">
      <c r="A84" s="11" t="str">
        <f>Positive_Set!A81</f>
        <v>P-080</v>
      </c>
      <c r="B84" s="11" t="str">
        <f>INDEX(Positive_Set!$G$2:$G$87,MATCH(A84,Positive_Set!$A$2:$A$87,0))</f>
        <v>ec2_securitygroup_allow_ingress_from_internet_to_tcp_port_3389</v>
      </c>
      <c r="C84" s="11" t="str">
        <f>INDEX(Positive_Set!$L$2:$L$87,MATCH(A84,Positive_Set!$A$2:$A$87,0))</f>
        <v>high</v>
      </c>
      <c r="D84" s="12"/>
      <c r="E84" s="11" t="str">
        <f t="shared" si="4"/>
        <v/>
      </c>
      <c r="F84" s="12"/>
      <c r="G84" s="12"/>
      <c r="H84" s="12"/>
      <c r="I84" s="12"/>
      <c r="J84" s="11" t="str">
        <f t="shared" si="5"/>
        <v/>
      </c>
      <c r="K84" s="12"/>
    </row>
    <row r="85" spans="1:11" x14ac:dyDescent="0.35">
      <c r="A85" s="11" t="str">
        <f>Positive_Set!A82</f>
        <v>P-081</v>
      </c>
      <c r="B85" s="11" t="str">
        <f>INDEX(Positive_Set!$G$2:$G$87,MATCH(A85,Positive_Set!$A$2:$A$87,0))</f>
        <v>ec2_securitygroup_allow_ingress_from_internet_to_all_ports</v>
      </c>
      <c r="C85" s="11" t="str">
        <f>INDEX(Positive_Set!$L$2:$L$87,MATCH(A85,Positive_Set!$A$2:$A$87,0))</f>
        <v>critical</v>
      </c>
      <c r="D85" s="12"/>
      <c r="E85" s="11" t="str">
        <f t="shared" si="4"/>
        <v/>
      </c>
      <c r="F85" s="12"/>
      <c r="G85" s="12"/>
      <c r="H85" s="12"/>
      <c r="I85" s="12"/>
      <c r="J85" s="11" t="str">
        <f t="shared" si="5"/>
        <v/>
      </c>
      <c r="K85" s="12"/>
    </row>
    <row r="86" spans="1:11" x14ac:dyDescent="0.35">
      <c r="A86" s="11" t="str">
        <f>Positive_Set!A83</f>
        <v>P-082</v>
      </c>
      <c r="B86" s="11" t="str">
        <f>INDEX(Positive_Set!$G$2:$G$87,MATCH(A86,Positive_Set!$A$2:$A$87,0))</f>
        <v>ec2_securitygroup_allow_ingress_from_internet_to_tcp_port_22</v>
      </c>
      <c r="C86" s="11" t="str">
        <f>INDEX(Positive_Set!$L$2:$L$87,MATCH(A86,Positive_Set!$A$2:$A$87,0))</f>
        <v>high</v>
      </c>
      <c r="D86" s="12"/>
      <c r="E86" s="11" t="str">
        <f t="shared" si="4"/>
        <v/>
      </c>
      <c r="F86" s="12"/>
      <c r="G86" s="12"/>
      <c r="H86" s="12"/>
      <c r="I86" s="12"/>
      <c r="J86" s="11" t="str">
        <f t="shared" si="5"/>
        <v/>
      </c>
      <c r="K86" s="12"/>
    </row>
    <row r="87" spans="1:11" x14ac:dyDescent="0.35">
      <c r="A87" s="11" t="str">
        <f>Positive_Set!A84</f>
        <v>P-083</v>
      </c>
      <c r="B87" s="11" t="str">
        <f>INDEX(Positive_Set!$G$2:$G$87,MATCH(A87,Positive_Set!$A$2:$A$87,0))</f>
        <v>ec2_securitygroup_allow_ingress_from_internet_to_tcp_port_3389</v>
      </c>
      <c r="C87" s="11" t="str">
        <f>INDEX(Positive_Set!$L$2:$L$87,MATCH(A87,Positive_Set!$A$2:$A$87,0))</f>
        <v>high</v>
      </c>
      <c r="D87" s="12"/>
      <c r="E87" s="11" t="str">
        <f t="shared" si="4"/>
        <v/>
      </c>
      <c r="F87" s="12"/>
      <c r="G87" s="12"/>
      <c r="H87" s="12"/>
      <c r="I87" s="12"/>
      <c r="J87" s="11" t="str">
        <f t="shared" si="5"/>
        <v/>
      </c>
      <c r="K87" s="12"/>
    </row>
    <row r="88" spans="1:11" x14ac:dyDescent="0.35">
      <c r="A88" s="11" t="str">
        <f>Positive_Set!A85</f>
        <v>P-084</v>
      </c>
      <c r="B88" s="11" t="str">
        <f>INDEX(Positive_Set!$G$2:$G$87,MATCH(A88,Positive_Set!$A$2:$A$87,0))</f>
        <v>ec2_securitygroup_default_restrict_traffic</v>
      </c>
      <c r="C88" s="11" t="str">
        <f>INDEX(Positive_Set!$L$2:$L$87,MATCH(A88,Positive_Set!$A$2:$A$87,0))</f>
        <v>high</v>
      </c>
      <c r="D88" s="12"/>
      <c r="E88" s="11" t="str">
        <f t="shared" si="4"/>
        <v/>
      </c>
      <c r="F88" s="12"/>
      <c r="G88" s="12"/>
      <c r="H88" s="12"/>
      <c r="I88" s="12"/>
      <c r="J88" s="11" t="str">
        <f t="shared" si="5"/>
        <v/>
      </c>
      <c r="K88" s="12"/>
    </row>
    <row r="89" spans="1:11" x14ac:dyDescent="0.35">
      <c r="A89" s="11" t="str">
        <f>Positive_Set!A86</f>
        <v>P-085</v>
      </c>
      <c r="B89" s="11" t="str">
        <f>INDEX(Positive_Set!$G$2:$G$87,MATCH(A89,Positive_Set!$A$2:$A$87,0))</f>
        <v>vpc_peering_routing_tables_with_least_privilege</v>
      </c>
      <c r="C89" s="11" t="str">
        <f>INDEX(Positive_Set!$L$2:$L$87,MATCH(A89,Positive_Set!$A$2:$A$87,0))</f>
        <v>medium</v>
      </c>
      <c r="D89" s="12"/>
      <c r="E89" s="11" t="str">
        <f t="shared" si="4"/>
        <v/>
      </c>
      <c r="F89" s="12"/>
      <c r="G89" s="12"/>
      <c r="H89" s="12"/>
      <c r="I89" s="12"/>
      <c r="J89" s="11" t="str">
        <f t="shared" si="5"/>
        <v/>
      </c>
      <c r="K89" s="12"/>
    </row>
    <row r="90" spans="1:11" x14ac:dyDescent="0.35">
      <c r="A90" s="11" t="str">
        <f>Positive_Set!A87</f>
        <v>P-086</v>
      </c>
      <c r="B90" s="11" t="str">
        <f>INDEX(Positive_Set!$G$2:$G$87,MATCH(A90,Positive_Set!$A$2:$A$87,0))</f>
        <v>ec2_instance_imdsv2_enabled</v>
      </c>
      <c r="C90" s="11" t="str">
        <f>INDEX(Positive_Set!$L$2:$L$87,MATCH(A90,Positive_Set!$A$2:$A$87,0))</f>
        <v>high</v>
      </c>
      <c r="D90" s="12"/>
      <c r="E90" s="11" t="str">
        <f t="shared" si="4"/>
        <v/>
      </c>
      <c r="F90" s="12"/>
      <c r="G90" s="12"/>
      <c r="H90" s="12"/>
      <c r="I90" s="12"/>
      <c r="J90" s="11" t="str">
        <f t="shared" si="5"/>
        <v/>
      </c>
      <c r="K90" s="12"/>
    </row>
  </sheetData>
  <autoFilter ref="A4:K4" xr:uid="{00000000-0009-0000-0000-000005000000}"/>
  <mergeCells count="1">
    <mergeCell ref="A2:K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pane xSplit="2" ySplit="1" topLeftCell="C2" activePane="bottomRight" state="frozen"/>
      <selection pane="topRight"/>
      <selection pane="bottomLeft"/>
      <selection pane="bottomRight"/>
    </sheetView>
  </sheetViews>
  <sheetFormatPr defaultRowHeight="14.5" x14ac:dyDescent="0.35"/>
  <cols>
    <col min="1" max="1" width="50" customWidth="1"/>
    <col min="2" max="2" width="100" customWidth="1"/>
  </cols>
  <sheetData>
    <row r="1" spans="1:2" x14ac:dyDescent="0.35">
      <c r="A1" s="6" t="s">
        <v>1521</v>
      </c>
      <c r="B1" s="6" t="s">
        <v>1090</v>
      </c>
    </row>
    <row r="2" spans="1:2" x14ac:dyDescent="0.35">
      <c r="A2" s="7" t="s">
        <v>1522</v>
      </c>
      <c r="B2" s="7" t="s">
        <v>1523</v>
      </c>
    </row>
    <row r="3" spans="1:2" x14ac:dyDescent="0.35">
      <c r="A3" s="7" t="s">
        <v>1524</v>
      </c>
      <c r="B3" s="7" t="s">
        <v>1525</v>
      </c>
    </row>
    <row r="4" spans="1:2" x14ac:dyDescent="0.35">
      <c r="A4" s="7" t="s">
        <v>1526</v>
      </c>
      <c r="B4" s="7" t="s">
        <v>1527</v>
      </c>
    </row>
    <row r="5" spans="1:2" x14ac:dyDescent="0.35">
      <c r="A5" s="7" t="s">
        <v>1528</v>
      </c>
      <c r="B5" s="7" t="s">
        <v>1529</v>
      </c>
    </row>
    <row r="6" spans="1:2" x14ac:dyDescent="0.35">
      <c r="A6" s="7" t="s">
        <v>1530</v>
      </c>
      <c r="B6" s="7" t="s">
        <v>1531</v>
      </c>
    </row>
    <row r="7" spans="1:2" x14ac:dyDescent="0.35">
      <c r="A7" s="7" t="s">
        <v>1532</v>
      </c>
      <c r="B7" s="7" t="s">
        <v>1533</v>
      </c>
    </row>
    <row r="8" spans="1:2" x14ac:dyDescent="0.35">
      <c r="A8" s="7" t="s">
        <v>1534</v>
      </c>
      <c r="B8" s="7" t="s">
        <v>1535</v>
      </c>
    </row>
  </sheetData>
  <autoFilter ref="A1:B8" xr:uid="{00000000-0009-0000-0000-000006000000}"/>
  <hyperlinks>
    <hyperlink ref="B2" r:id="rId1" xr:uid="{00000000-0004-0000-0600-000000000000}"/>
    <hyperlink ref="B3" r:id="rId2" xr:uid="{00000000-0004-0000-0600-000001000000}"/>
    <hyperlink ref="B4" r:id="rId3" xr:uid="{00000000-0004-0000-0600-000002000000}"/>
    <hyperlink ref="B5" r:id="rId4" xr:uid="{00000000-0004-0000-0600-000003000000}"/>
    <hyperlink ref="B6" r:id="rId5" xr:uid="{00000000-0004-0000-0600-000004000000}"/>
    <hyperlink ref="B7" r:id="rId6" xr:uid="{00000000-0004-0000-0600-000005000000}"/>
    <hyperlink ref="B8" r:id="rId7" xr:uid="{00000000-0004-0000-0600-00000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Positive_Set</vt:lpstr>
      <vt:lpstr>Edge_Cases</vt:lpstr>
      <vt:lpstr>Triage_Set</vt:lpstr>
      <vt:lpstr>Version_Drift</vt:lpstr>
      <vt:lpstr>Eval_Scorecard</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IIMShillong_VimalGeorge JKizhakudan</cp:lastModifiedBy>
  <dcterms:created xsi:type="dcterms:W3CDTF">2026-10-27T10:06:50Z</dcterms:created>
  <dcterms:modified xsi:type="dcterms:W3CDTF">2026-10-27T10:07:10Z</dcterms:modified>
</cp:coreProperties>
</file>